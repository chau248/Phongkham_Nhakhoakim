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hongkham_Nhakhoakim\tai_lieu\"/>
    </mc:Choice>
  </mc:AlternateContent>
  <xr:revisionPtr revIDLastSave="0" documentId="13_ncr:1_{4CF0696C-0278-4C7E-A2C6-0A88B1F2D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quan" sheetId="1" r:id="rId1"/>
    <sheet name="Công việc theo người" sheetId="2" r:id="rId2"/>
    <sheet name="Chức năng" sheetId="3" r:id="rId3"/>
    <sheet name="Ràng buộc" sheetId="4" r:id="rId4"/>
    <sheet name="Màn hình" sheetId="5" r:id="rId5"/>
    <sheet name="Entity và CSDL" sheetId="6" r:id="rId6"/>
    <sheet name="Điểm ghép nối" sheetId="7" r:id="rId7"/>
    <sheet name="Quy ước code" sheetId="8" r:id="rId8"/>
    <sheet name="Thiết lập môi trường" sheetId="9" r:id="rId9"/>
  </sheets>
  <definedNames>
    <definedName name="_xlnm._FilterDatabase" localSheetId="2" hidden="1">'Chức năng'!$A$4:$H$28</definedName>
    <definedName name="_xlnm._FilterDatabase" localSheetId="1" hidden="1">'Công việc theo người'!$A$4:$I$35</definedName>
    <definedName name="_xlnm._FilterDatabase" localSheetId="5" hidden="1">'Entity và CSDL'!$A$4:$I$19</definedName>
    <definedName name="_xlnm._FilterDatabase" localSheetId="4" hidden="1">'Màn hình'!$A$4:$F$27</definedName>
  </definedNames>
  <calcPr calcId="191029"/>
</workbook>
</file>

<file path=xl/calcChain.xml><?xml version="1.0" encoding="utf-8"?>
<calcChain xmlns="http://schemas.openxmlformats.org/spreadsheetml/2006/main">
  <c r="D29" i="1" l="1"/>
  <c r="C29" i="1"/>
  <c r="B29" i="1"/>
  <c r="D28" i="1"/>
  <c r="C28" i="1"/>
  <c r="B28" i="1"/>
  <c r="D27" i="1"/>
  <c r="D30" i="1" s="1"/>
  <c r="C27" i="1"/>
  <c r="C30" i="1" s="1"/>
  <c r="E30" i="1" s="1"/>
  <c r="B27" i="1"/>
  <c r="B30" i="1" s="1"/>
</calcChain>
</file>

<file path=xl/sharedStrings.xml><?xml version="1.0" encoding="utf-8"?>
<sst xmlns="http://schemas.openxmlformats.org/spreadsheetml/2006/main" count="1440" uniqueCount="743">
  <si>
    <t>KẾ HOẠCH CODE VÀ PHÂN CÔNG CHI TIẾT – PHÒNG KHÁM NHA KHOA KIM</t>
  </si>
  <si>
    <t>Nhóm 09 – Môn Phát triển ứng dụng. Cập nhật: 06/10/2026 (thu gọn phạm vi còn 24 chức năng lõi). Mọi sheet cùng một nguồn dữ liệu nên khớp nhau.</t>
  </si>
  <si>
    <t>1. THÔNG TIN CHUNG</t>
  </si>
  <si>
    <t>Repo</t>
  </si>
  <si>
    <t>https://github.com/chau248/Phongkham_Nhakhoakim (nhánh main, develop; làm việc trên feature/...)</t>
  </si>
  <si>
    <t>Công nghệ</t>
  </si>
  <si>
    <t>Java 11, JavaFX 17 (giao diện viết bằng code), SQL Server Express (CSDL), JDBC thuần, Maven, jBCrypt (băm mật khẩu); làm trên Eclipse 2021-09</t>
  </si>
  <si>
    <t>Kiến trúc</t>
  </si>
  <si>
    <t>4 tầng: entity (dữ liệu) - dao (SQL) - service (nghiệp vụ, kiểm tra ràng buộc) - màn hình JavaFX. Màn hình chỉ gọi Service; chỉ DAO viết SQL.</t>
  </si>
  <si>
    <t>Phạm vi</t>
  </si>
  <si>
    <t>Hạn tối đa 4 tuần (05/10 – 01/11/2026): 24 chức năng lõi trong 7 menu. Các chức năng bổ sung (voucher, vật tư, báo cáo, nhật ký hệ thống, nghỉ phép, ...) để vào hướng phát triển.</t>
  </si>
  <si>
    <t>Hiện trạng</t>
  </si>
  <si>
    <t>Đã xong: khung chương trình và menu theo đối tượng (chuong_trinh, MH02). Chưa làm: CSDL, lớp kết nối, các màn hình chức năng (bấm vào mục menu hiện vùng trống cho tới khi có màn hình).</t>
  </si>
  <si>
    <t>Nguồn thiết kế</t>
  </si>
  <si>
    <t>tai_lieu/thiet_ke: Sơ đồ luồng màn hình, Menu hướng đối tượng (24 chức năng lõi), OOAD v2; tai_lieu/mockup: wireframe Nha sĩ.</t>
  </si>
  <si>
    <t>2. THÀNH VIÊN VÀ TRÁCH NHIỆM (theo README nhóm, cân lại theo lộ trình)</t>
  </si>
  <si>
    <t>Tên gọi</t>
  </si>
  <si>
    <t>Họ tên</t>
  </si>
  <si>
    <t>Vai trò nhóm</t>
  </si>
  <si>
    <t>Phụ trách vai trò người dùng</t>
  </si>
  <si>
    <t>Trọng tâm công việc</t>
  </si>
  <si>
    <t>Hậu</t>
  </si>
  <si>
    <t>Nguyễn Chí Hậu</t>
  </si>
  <si>
    <t>Nhóm trưởng</t>
  </si>
  <si>
    <t>Nha sĩ + Y tá</t>
  </si>
  <si>
    <t>Nền tảng CSDL (pom.xml, script tạo bảng); phần lâm sàng: hồ sơ bệnh án, lượt khám, sơ đồ răng, liệu trình, dụng cụ; quản trị repo, tích hợp, review cuối</t>
  </si>
  <si>
    <t>Trường</t>
  </si>
  <si>
    <t>Nguyễn Phi Trường</t>
  </si>
  <si>
    <t>Thành viên</t>
  </si>
  <si>
    <t>Lễ tân</t>
  </si>
  <si>
    <t>Bệnh nhân, lịch hẹn, hóa đơn - thanh toán</t>
  </si>
  <si>
    <t>Tâm</t>
  </si>
  <si>
    <t>Nguyễn Trần Trí Tâm</t>
  </si>
  <si>
    <t>Quản lý + nền tảng</t>
  </si>
  <si>
    <t>Hạ tầng (lớp kết nối, đăng nhập, nhật ký), nhân viên, dịch vụ, ca trực, tài khoản</t>
  </si>
  <si>
    <t>3. LỘ TRÌNH 4 TUẦN</t>
  </si>
  <si>
    <t>Tuần</t>
  </si>
  <si>
    <t>Thời gian</t>
  </si>
  <si>
    <t>Chủ đề</t>
  </si>
  <si>
    <t>Mục tiêu</t>
  </si>
  <si>
    <t>Mốc kiểm tra cuối tuần</t>
  </si>
  <si>
    <t>Tuần 1</t>
  </si>
  <si>
    <t>05/10 – 11/10</t>
  </si>
  <si>
    <t>Thiết lập và nền tảng</t>
  </si>
  <si>
    <t>Mọi người chạy được menu và kết nối được CSDL trên máy mình; Hậu xong pom.xml và script CSDL, Tâm xong lớp kết nối; mỗi người có entity, DAO phần của mình.</t>
  </si>
  <si>
    <t>Cuối tuần: cả 3 chạy được chương trình, đọc dữ liệu mẫu từ SQL Server; nhánh feature đầu tiên merge vào develop. (Menu đã xong ngày 06/10.)</t>
  </si>
  <si>
    <t>Tuần 2</t>
  </si>
  <si>
    <t>12/10 – 18/10</t>
  </si>
  <si>
    <t>Service và màn hình lõi</t>
  </si>
  <si>
    <t>Mỗi người hoàn thành service và các màn hình lõi của mình bằng dữ liệu thật, gắn vào menu qua hàm taoManHinh trong MainApp.</t>
  </si>
  <si>
    <t>Giữa kỳ: demo luồng Lễ tân tạo hồ sơ + đặt lịch -&gt; Nha sĩ thấy lịch trong Lịch làm việc.</t>
  </si>
  <si>
    <t>Tuần 3</t>
  </si>
  <si>
    <t>19/10 – 25/10</t>
  </si>
  <si>
    <t>Ghép nối và hoàn thiện</t>
  </si>
  <si>
    <t>Nối các luồng chéo: tái khám -&gt; lịch hẹn, lượt khám hoàn tất -&gt; hóa đơn; phân quyền menu theo vai trò; nhật ký.</t>
  </si>
  <si>
    <t>Cuối tuần: chạy trọn luồng từ đăng nhập đến thanh toán với cả 4 vai trò.</t>
  </si>
  <si>
    <t>Tuần 4</t>
  </si>
  <si>
    <t>26/10 – 01/11</t>
  </si>
  <si>
    <t>Kiểm thử, tài liệu, demo</t>
  </si>
  <si>
    <t>Kiểm thử chéo, sửa lỗi, review code cả nhóm, hoàn thiện báo cáo và hướng dẫn sử dụng; đóng băng code từ giữa tuần.</t>
  </si>
  <si>
    <t>Cuối tuần: bản demo ổn định; tag phiên bản trên main.</t>
  </si>
  <si>
    <t>4. THỐNG KÊ KHỐI LƯỢNG (tự tính từ các sheet)</t>
  </si>
  <si>
    <t>Người</t>
  </si>
  <si>
    <t>Số việc (sheet Công việc)</t>
  </si>
  <si>
    <t>Số chức năng</t>
  </si>
  <si>
    <t>Số màn hình</t>
  </si>
  <si>
    <t>Kiểm tra</t>
  </si>
  <si>
    <t>Tổng</t>
  </si>
  <si>
    <t>Ghi chú: Hậu là nhóm trưởng, ngoài code lâm sàng còn lo pom.xml, script CSDL, quản trị repo và review nên tải nặng nhất; Tâm lo lớp kết nối, đăng nhập và quản lý.</t>
  </si>
  <si>
    <t>5. NGUYÊN TẮC ĐỂ CÁC PHẦN KHỚP NHAU</t>
  </si>
  <si>
    <t>• Mỗi màn hình, mỗi bảng CSDL, mỗi service chỉ có một người sở hữu (xem sheet Màn hình, Entity và CSDL). Muốn sửa phần của người khác: mở GitHub Issue hoặc nhắn người đó.</t>
  </si>
  <si>
    <t>• Danh sách chức năng và menu chỉ sửa ở DanhSachChucNang.java; sửa xong cập nhật lại file Menu hướng đối tượng và sheet Chức năng cho khớp.</t>
  </si>
  <si>
    <t>• Giao tiếp giữa các phần chỉ qua Service theo sheet 'Điểm ghép nối'. Không gọi DAO của người khác, không viết SQL lên bảng của người khác.</t>
  </si>
  <si>
    <t>• Đổi tên hàm hoặc cột bảng đã công bố phải báo cả nhóm và sửa tài liệu trước khi sửa code.</t>
  </si>
  <si>
    <t>• Dữ liệu mẫu (chuong_trinh/csdl/02_seed.sql) dùng chung: ai cần thêm dữ liệu mẫu thì sửa file này trong Pull Request riêng.</t>
  </si>
  <si>
    <t>• Mọi thao tác nhạy cảm (sửa giá, sửa dị ứng, gán vai trò) phải gọi NhatKyService.ghiNhatKy.</t>
  </si>
  <si>
    <t>• Mỗi Pull Request nhỏ, một việc, được 1 người khác review (Hậu duyệt Tâm, Tâm duyệt Trường, Trường duyệt Hậu).</t>
  </si>
  <si>
    <t>6. RỦI RO CẦN THEO DÕI</t>
  </si>
  <si>
    <t>• Hậu phải xong pom.xml và script CSDL trước tiên, Tâm phải xong lớp kết nối, đăng nhập, nhân viên, dịch vụ cuối Tuần 2; nếu trễ thì người dùng dữ liệu mẫu cố định để làm tiếp.</t>
  </si>
  <si>
    <t>• Cài SQL Server Express khác nhau giữa 3 máy (cổng, chế độ đăng nhập) và đường dẫn dự án có dấu: làm đủ sheet 'Thiết lập môi trường' ngay Tuần 1.</t>
  </si>
  <si>
    <t>• Eclipse 2021-09 chỉ biên dịch tới Java 16, nên dự án đặt Java 11 + JavaFX 17; không tự ý nâng phiên bản trong pom.xml khi chưa cả nhóm cùng nâng Eclipse.</t>
  </si>
  <si>
    <t>• Sơ đồ răng (MH11) là phần phức tạp nhất: làm bản đơn giản (chọn răng, trạng thái, dịch vụ) trước, trang trí sau.</t>
  </si>
  <si>
    <t>• Hậu nhiều việc nhất (CSDL, lâm sàng, quản trị repo, review): Tuần 3 cân nhắc chuyển một phần màn hình của Hậu cho người xong sớm.</t>
  </si>
  <si>
    <t>CÔNG VIỆC CHI TIẾT THEO NGƯỜI VÀ THEO TUẦN</t>
  </si>
  <si>
    <t>Cột 'Đầu vào / phụ thuộc' cho biết việc phải xong trước. Cập nhật cột Trạng thái khi làm (Chưa làm / Đang làm / Xong).</t>
  </si>
  <si>
    <t>Mã việc</t>
  </si>
  <si>
    <t>Người làm</t>
  </si>
  <si>
    <t>Nhóm việc</t>
  </si>
  <si>
    <t>Công việc</t>
  </si>
  <si>
    <t>Đầu vào / phụ thuộc</t>
  </si>
  <si>
    <t>Đầu ra</t>
  </si>
  <si>
    <t>Trạng thái</t>
  </si>
  <si>
    <t>Người review</t>
  </si>
  <si>
    <t>T01</t>
  </si>
  <si>
    <t>Cả nhóm</t>
  </si>
  <si>
    <t>Thiết lập</t>
  </si>
  <si>
    <t>Cài Eclipse (2021-09 trở lên) và Git; clone repo về đường dẫn KHÔNG có dấu (ví dụ D:\Phongkham_Nhakhoakim); import thư mục chuong_trinh bằng Maven; chạy Launcher thấy menu</t>
  </si>
  <si>
    <t>tai_lieu/HUONG_DAN_CAI_DAT.md</t>
  </si>
  <si>
    <t>Mỗi người chạy được menu trên máy mình</t>
  </si>
  <si>
    <t>Chưa làm</t>
  </si>
  <si>
    <t>T02</t>
  </si>
  <si>
    <t>Cài SQL Server Express + SSMS, bật Mixed Mode và TCP/IP cổng 1433, tạo login nhakhoa; tạo file chuong_trinh/config/database.properties (không commit)</t>
  </si>
  <si>
    <t>SQL Server Express chạy được</t>
  </si>
  <si>
    <t>3 máy cùng kết nối được CSDL NhaKhoaKim</t>
  </si>
  <si>
    <t>T03</t>
  </si>
  <si>
    <t>Quy ước</t>
  </si>
  <si>
    <t>Thống nhất tai_lieu/QUY_UOC_CODE.md (tên, comment, nhánh, review chéo) và tên hàm trong sheet 'Điểm ghép nối'</t>
  </si>
  <si>
    <t>Slide Review 4</t>
  </si>
  <si>
    <t>Mọi người đồng ý; sửa trực tiếp file nếu cần</t>
  </si>
  <si>
    <t>T04</t>
  </si>
  <si>
    <t>Hạ tầng</t>
  </si>
  <si>
    <t>Thêm mssql-jdbc và jBCrypt vào pom.xml, đẩy lên develop để cả nhóm kéo về</t>
  </si>
  <si>
    <t>Cả nhóm có thư viện kết nối CSDL và băm mật khẩu</t>
  </si>
  <si>
    <t>T05</t>
  </si>
  <si>
    <t>CSDL</t>
  </si>
  <si>
    <t>Viết chuong_trinh/csdl/01_schema.sql (các bảng theo sheet 'Entity và CSDL') và 02_seed.sql (dữ liệu mẫu), chạy được trên cả 3 máy</t>
  </si>
  <si>
    <t>CSDL NhaKhoaKim giống nhau trên 3 máy</t>
  </si>
  <si>
    <t>T06</t>
  </si>
  <si>
    <t>Viết DatabaseConnection (đọc config/database.properties), MaGenerator (sinh mã BN000001...), PhienLamViec (người dùng hiện tại)</t>
  </si>
  <si>
    <t>T02, T04</t>
  </si>
  <si>
    <t>Lớp dùng chung, có test kết nối</t>
  </si>
  <si>
    <t>T07</t>
  </si>
  <si>
    <t>NhatKyService.ghiNhatKy(...) bản đầu để mọi người gọi khi sửa giá, sửa dị ứng, gán vai trò</t>
  </si>
  <si>
    <t>API ghi nhật ký dùng được từ cuối Tuần 1</t>
  </si>
  <si>
    <t>T08</t>
  </si>
  <si>
    <t>Entity/DAO</t>
  </si>
  <si>
    <t>NhanVien, TaiKhoan, DichVu, CaTruc, NhatKyHeThong: entity, DAO, kiểm thử</t>
  </si>
  <si>
    <t>T06, T05</t>
  </si>
  <si>
    <t>DAO chạy với dữ liệu mẫu</t>
  </si>
  <si>
    <t>T09</t>
  </si>
  <si>
    <t>Dịch vụ</t>
  </si>
  <si>
    <t>Đăng nhập: MatKhauUtil (BCrypt), TaiKhoanService.dangNhap, khóa tài khoản sau 5 lần sai; MH01 Đăng nhập; sau đăng nhập mở chương trình theo vai trò</t>
  </si>
  <si>
    <t>Đăng nhập thật cho 4 vai trò</t>
  </si>
  <si>
    <t>T10</t>
  </si>
  <si>
    <t>Màn hình</t>
  </si>
  <si>
    <t>MH27 Danh mục dịch vụ &amp; giá, MH28 Thêm/sửa dịch vụ, MH24 Phân công ca trực, MH37 Hồ sơ nhân viên, MH38 Tạo tài khoản &amp; gán vai trò; gắn vào taoManHinh</t>
  </si>
  <si>
    <t>Dữ liệu dịch vụ, nhân viên, ca trực để người khác dùng</t>
  </si>
  <si>
    <t>T11</t>
  </si>
  <si>
    <t>Liên thông</t>
  </si>
  <si>
    <t>Cung cấp DichVuService.layTatCa/timTheoLoai/timTheoMa, NhanVienService.layTheoVaiTro, CaTrucService.layTheoNhanVienVaKhoang cho Hậu và Trường</t>
  </si>
  <si>
    <t>Bảng 'Điểm ghép nối'</t>
  </si>
  <si>
    <t>Hậu và Trường gọi được từ đầu Tuần 2</t>
  </si>
  <si>
    <t>T12</t>
  </si>
  <si>
    <t>Phân quyền menu theo vai trò (ẩn mục không thuộc vai trò của người đăng nhập); ghi nhật ký khi sửa giá dịch vụ và gán vai trò</t>
  </si>
  <si>
    <t>T09, T10</t>
  </si>
  <si>
    <t>Phân quyền và nhật ký chạy toàn hệ thống</t>
  </si>
  <si>
    <t>T13</t>
  </si>
  <si>
    <t>HoSoBenhAn, LuotKham, LuotKhamDichVu, RangDieuTri, LieuTrinh, DungCu: entity, DAO, kiểm thử</t>
  </si>
  <si>
    <t>T14</t>
  </si>
  <si>
    <t>Dựng bản tĩnh (chưa nối dữ liệu) cho MH09, MH10, MH11, MH12, MH36 theo tai_lieu/mockup</t>
  </si>
  <si>
    <t>Wireframe HTML của các màn hình Nha sĩ</t>
  </si>
  <si>
    <t>Lớp giao diện khung, gắn được vào taoManHinh</t>
  </si>
  <si>
    <t>T15</t>
  </si>
  <si>
    <t>Quản trị</t>
  </si>
  <si>
    <t>Rà soát repo, tạo nhánh develop và bảo vệ nhánh, hướng dẫn 2 bạn kia; review Pull Request đầu tiên của Tâm</t>
  </si>
  <si>
    <t>Quyền admin repo</t>
  </si>
  <si>
    <t>Quy trình nhánh chạy</t>
  </si>
  <si>
    <t>T16</t>
  </si>
  <si>
    <t>HoSoBenhAnService (xem, cập nhật tiền sử/dị ứng, taoHoSoRong), LuotKhamService (bắt đầu/hoàn tất khám), kiểm tra dị ứng khi kê đơn</t>
  </si>
  <si>
    <t>T13, T11</t>
  </si>
  <si>
    <t>Nghiệp vụ lâm sàng chạy</t>
  </si>
  <si>
    <t>T17</t>
  </si>
  <si>
    <t>Nối dữ liệu thật cho MH09 Hồ sơ bệnh án (kèm tiền sử, dị ứng, liệu trình), MH10 Khám &amp; điều trị (kèm kê đơn), MH11 Sơ đồ răng (ràng buộc răng đã nhổ), MH36 Chọn dịch vụ</t>
  </si>
  <si>
    <t>T14, T16</t>
  </si>
  <si>
    <t>Nha sĩ khám và ghi sơ đồ răng được</t>
  </si>
  <si>
    <t>T18</t>
  </si>
  <si>
    <t>Cung cấp HoSoBenhAnService.taoHoSoRong, LuotKhamService.layLuotKhamChoThanhToan / layDichVuDaThucHien / ganHoaDon cho Trường</t>
  </si>
  <si>
    <t>Trường gọi được từ Tuần 2</t>
  </si>
  <si>
    <t>T19</t>
  </si>
  <si>
    <t>MH12 Chỉ định tái khám (gọi LichHenService.taoLichTaiKham của Trường); MH06, MH07 Lịch làm việc; MH14 Chuẩn bị dụng cụ</t>
  </si>
  <si>
    <t>LichHenService của Trường; CaTrucService của Tâm</t>
  </si>
  <si>
    <t>Luồng Nha sĩ và Y tá trọn vẹn</t>
  </si>
  <si>
    <t>T20</t>
  </si>
  <si>
    <t>BenhNhan, LichHen, HoaDon, ChiTietHoaDon: entity, DAO, kiểm thử</t>
  </si>
  <si>
    <t>T21</t>
  </si>
  <si>
    <t>Dựng bản tĩnh (chưa nối dữ liệu) cho MH08, MH13, MH17, MH18, MH19, MH20, MH21, MH22 theo menu và luồng màn hình</t>
  </si>
  <si>
    <t>Menu hướng đối tượng, luồng màn hình</t>
  </si>
  <si>
    <t>T22</t>
  </si>
  <si>
    <t>BenhNhanService (tạo, sửa, tìm kiếm), LichHenService (đặt, dời, hủy, xác nhận, kiểm tra trùng lịch)</t>
  </si>
  <si>
    <t>T20, T11</t>
  </si>
  <si>
    <t>Nghiệp vụ lễ tân chạy</t>
  </si>
  <si>
    <t>T23</t>
  </si>
  <si>
    <t>Nối dữ liệu thật cho MH13, MH08, MH17, MH18, MH19</t>
  </si>
  <si>
    <t>T21, T22</t>
  </si>
  <si>
    <t>Lễ tân tạo hồ sơ và đặt lịch được</t>
  </si>
  <si>
    <t>T24</t>
  </si>
  <si>
    <t>Cung cấp LichHenService.layTheoNhanVien và taoLichTaiKham cho Hậu</t>
  </si>
  <si>
    <t>Hậu gọi được từ Tuần 3</t>
  </si>
  <si>
    <t>T25</t>
  </si>
  <si>
    <t>HoaDonService: taoTuLuotKham, tinhTongTien, thanh toán; danh sách chờ thanh toán lấy từ lượt khám hoàn tất của Hậu</t>
  </si>
  <si>
    <t>Hóa đơn tạo từ lượt khám</t>
  </si>
  <si>
    <t>T26</t>
  </si>
  <si>
    <t>MH20 Danh sách chờ thanh toán, MH21 Lập hóa đơn, MH22 Thanh toán và in hóa đơn</t>
  </si>
  <si>
    <t>Lễ tân thu tiền được</t>
  </si>
  <si>
    <t>T27</t>
  </si>
  <si>
    <t>Kiểm thử</t>
  </si>
  <si>
    <t>Kiểm thử chéo theo kịch bản trọn luồng (mỗi người test phần của người khác), ghi lỗi vào GitHub Issues</t>
  </si>
  <si>
    <t>Hoàn thành các màn hình lõi</t>
  </si>
  <si>
    <t>Danh sách lỗi và đã sửa</t>
  </si>
  <si>
    <t>T28</t>
  </si>
  <si>
    <t>Review</t>
  </si>
  <si>
    <t>Họp review code cả nhóm theo slide Review 4 (ngắn gọn, đặt tên, comment, hiệu năng)</t>
  </si>
  <si>
    <t>Code đã merge develop</t>
  </si>
  <si>
    <t>Biên bản review</t>
  </si>
  <si>
    <t>T29</t>
  </si>
  <si>
    <t>Tài liệu</t>
  </si>
  <si>
    <t>Tổng hợp báo cáo cuối: sơ đồ lớp, ERD, màn hình, kiểm thử; tag phiên bản trên main</t>
  </si>
  <si>
    <t>Mọi phần</t>
  </si>
  <si>
    <t>Bộ tài liệu nộp</t>
  </si>
  <si>
    <t>T30</t>
  </si>
  <si>
    <t>Hướng dẫn cài đặt và sử dụng cho Quản lý + phần nền tảng trong báo cáo</t>
  </si>
  <si>
    <t>Hướng dẫn sử dụng</t>
  </si>
  <si>
    <t>T31</t>
  </si>
  <si>
    <t>Hướng dẫn sử dụng cho Lễ tân + phần hóa đơn/lịch hẹn trong báo cáo</t>
  </si>
  <si>
    <t>24 CHỨC NĂNG CỦA MENU HƯỚNG ĐỐI TƯỢNG (ĐÃ PHÂN CÔNG)</t>
  </si>
  <si>
    <t>Đều là chức năng lõi, làm trong tối đa 4 tuần. Người phụ trách làm cả giao diện và nghiệp vụ của chức năng. Danh sách khớp với DanhSachChucNang.java.</t>
  </si>
  <si>
    <t>STT</t>
  </si>
  <si>
    <t>Nhóm (menu)</t>
  </si>
  <si>
    <t>Chức năng</t>
  </si>
  <si>
    <t>Loại</t>
  </si>
  <si>
    <t>Use case</t>
  </si>
  <si>
    <t>Vai trò dùng</t>
  </si>
  <si>
    <t>Người phụ trách</t>
  </si>
  <si>
    <t>Ghi chú nghiệp vụ</t>
  </si>
  <si>
    <t>Bệnh nhân</t>
  </si>
  <si>
    <t>Tìm kiếm bệnh nhân</t>
  </si>
  <si>
    <t>Tra cứu</t>
  </si>
  <si>
    <t>UC003, UC005</t>
  </si>
  <si>
    <t>Nha sĩ, Lễ tân</t>
  </si>
  <si>
    <t>Tìm theo mã, họ tên, số điện thoại</t>
  </si>
  <si>
    <t>Thêm / cập nhật hồ sơ bệnh nhân</t>
  </si>
  <si>
    <t>Lưu trữ</t>
  </si>
  <si>
    <t>UC003</t>
  </si>
  <si>
    <t>Y tá, Lễ tân</t>
  </si>
  <si>
    <t>Tạo mới và sửa; Y tá khai báo y tế/dị ứng ban đầu</t>
  </si>
  <si>
    <t>Xem hồ sơ bệnh án</t>
  </si>
  <si>
    <t>UC005</t>
  </si>
  <si>
    <t>Nha sĩ</t>
  </si>
  <si>
    <t>Cảnh báo dị ứng hiển thị nổi bật; lịch sử khám</t>
  </si>
  <si>
    <t>Cập nhật tiền sử &amp; dị ứng</t>
  </si>
  <si>
    <t>Nha sĩ, Y tá</t>
  </si>
  <si>
    <t>Thay đổi phải ghi nhật ký hệ thống</t>
  </si>
  <si>
    <t>Xem liệu trình đang thực hiện</t>
  </si>
  <si>
    <t>Hiển thị trong hồ sơ bệnh án</t>
  </si>
  <si>
    <t>Lịch hẹn</t>
  </si>
  <si>
    <t>Xem lịch hẹn</t>
  </si>
  <si>
    <t>UC004</t>
  </si>
  <si>
    <t>Theo ngày/tuần, thấy khung giờ trống</t>
  </si>
  <si>
    <t>Đặt lịch hẹn</t>
  </si>
  <si>
    <t>Kiểm tra trùng lịch và thời gian dịch vụ</t>
  </si>
  <si>
    <t>Dời / hủy lịch hẹn</t>
  </si>
  <si>
    <t>Hủy phải có lý do</t>
  </si>
  <si>
    <t>Xác nhận lịch hẹn</t>
  </si>
  <si>
    <t>Từ Chờ xác nhận sang Đã xác nhận, kể cả lịch tái khám do Nha sĩ tạo</t>
  </si>
  <si>
    <t>Xem lịch làm việc</t>
  </si>
  <si>
    <t>UC002</t>
  </si>
  <si>
    <t>Chỉ xem; Nha sĩ thấy ca khám, Y tá thấy ca hỗ trợ</t>
  </si>
  <si>
    <t>Lượt khám</t>
  </si>
  <si>
    <t>Khám &amp; ghi nhận điều trị</t>
  </si>
  <si>
    <t>Lý do khám, chẩn đoán, hướng điều trị, dịch vụ thực hiện</t>
  </si>
  <si>
    <t>Sơ đồ răng điều trị</t>
  </si>
  <si>
    <t>32 răng theo FDI; răng đã nhổ chỉ chọn dịch vụ implant/cầu răng</t>
  </si>
  <si>
    <t>Kê đơn thuốc</t>
  </si>
  <si>
    <t>Không cho kê thuốc trùng cảnh báo dị ứng</t>
  </si>
  <si>
    <t>Chỉ định tái khám</t>
  </si>
  <si>
    <t>Tạo lịch hẹn trạng thái Chờ xác nhận</t>
  </si>
  <si>
    <t>Chuẩn bị dụng cụ theo dịch vụ</t>
  </si>
  <si>
    <t>UC006</t>
  </si>
  <si>
    <t>Y tá</t>
  </si>
  <si>
    <t>Xác nhận chuẩn bị theo loại dịch vụ của ca khám</t>
  </si>
  <si>
    <t>Hóa đơn</t>
  </si>
  <si>
    <t>Danh sách chờ thanh toán</t>
  </si>
  <si>
    <t>UC007</t>
  </si>
  <si>
    <t>Các lượt khám đã hoàn tất, chưa lập hóa đơn</t>
  </si>
  <si>
    <t>Lập hóa đơn</t>
  </si>
  <si>
    <t>Tính toán</t>
  </si>
  <si>
    <t>Tổng tiền = dịch vụ - giảm giá + thuế VAT</t>
  </si>
  <si>
    <t>Thanh toán &amp; in hóa đơn</t>
  </si>
  <si>
    <t>Kết xuất</t>
  </si>
  <si>
    <t>Tiền mặt / Chuyển khoản / Thẻ / Ví điện tử</t>
  </si>
  <si>
    <t>Xem danh mục dịch vụ &amp; giá</t>
  </si>
  <si>
    <t>UC005, UC009</t>
  </si>
  <si>
    <t>Nha sĩ, Lễ tân, Quản lý</t>
  </si>
  <si>
    <t>Bảng giá và thời gian dự kiến; Nha sĩ tra khi khám, chỉ xem không sửa</t>
  </si>
  <si>
    <t>Thêm / sửa dịch vụ</t>
  </si>
  <si>
    <t>UC009</t>
  </si>
  <si>
    <t>Quản lý</t>
  </si>
  <si>
    <t>Mọi thay đổi giá ghi nhật ký hệ thống</t>
  </si>
  <si>
    <t>Nhân viên</t>
  </si>
  <si>
    <t>Cập nhật hồ sơ nhân viên</t>
  </si>
  <si>
    <t>UC008</t>
  </si>
  <si>
    <t>Gồm chứng chỉ hành nghề và ngày hết hạn</t>
  </si>
  <si>
    <t>Phân công ca trực</t>
  </si>
  <si>
    <t>Lập bảng phân công theo tuần</t>
  </si>
  <si>
    <t>Tài khoản</t>
  </si>
  <si>
    <t>Đăng nhập / Đăng xuất</t>
  </si>
  <si>
    <t>Khác</t>
  </si>
  <si>
    <t>UC001</t>
  </si>
  <si>
    <t>Nha sĩ, Y tá, Lễ tân, Quản lý</t>
  </si>
  <si>
    <t>Khóa tài khoản sau 5 lần sai; điều hướng theo vai trò</t>
  </si>
  <si>
    <t>Tạo tài khoản &amp; gán vai trò</t>
  </si>
  <si>
    <t>Mỗi tài khoản gắn đúng 1 nhân viên</t>
  </si>
  <si>
    <t>RÀNG BUỘC NGHIỆP VỤ ĐỂ CÁC CHỨC NĂNG KHỚP NHAU</t>
  </si>
  <si>
    <t>Người làm chức năng cài ràng buộc ở lớp Service và báo lỗi bằng tiếng Việt. Xem thêm tai_lieu/RANG_BUOC_NGHIEP_VU.md (vòng đời trạng thái, chuỗi phụ thuộc, ràng buộc chung).</t>
  </si>
  <si>
    <t>Mã</t>
  </si>
  <si>
    <t>Menu</t>
  </si>
  <si>
    <t>Ràng buộc</t>
  </si>
  <si>
    <t>Nơi kiểm tra</t>
  </si>
  <si>
    <t>BN-01</t>
  </si>
  <si>
    <t>Tìm theo mã, họ tên (không phân biệt hoa thường) hoặc số điện thoại; chỉ hiện bệnh nhân Đang điều trị; hiện tối đa 50 dòng.</t>
  </si>
  <si>
    <t>Service</t>
  </si>
  <si>
    <t>BN-02</t>
  </si>
  <si>
    <t>Họ tên bắt buộc; số điện thoại đúng 10 số bắt đầu bằng 0; CCCD đúng 12 số và không trùng bệnh nhân khác; ngày sinh không sau hôm nay.</t>
  </si>
  <si>
    <t>Service + CSDL</t>
  </si>
  <si>
    <t>BN-03</t>
  </si>
  <si>
    <t>Bệnh nhân dưới 18 tuổi bắt buộc có người liên hệ khẩn cấp (tên và số điện thoại).</t>
  </si>
  <si>
    <t>BN-04</t>
  </si>
  <si>
    <t>Tạo bệnh nhân mới thì tạo luôn một hồ sơ bệnh án rỗng (gọi Hậu) trong cùng một giao dịch; một trong hai lỗi thì hủy cả hai.</t>
  </si>
  <si>
    <t>BN-05</t>
  </si>
  <si>
    <t>Lễ tân sửa thông tin hành chính; Y tá chỉ khai báo y tế và dị ứng ban đầu; Nha sĩ không sửa thông tin hành chính.</t>
  </si>
  <si>
    <t>BN-06</t>
  </si>
  <si>
    <t>Chỉ Nha sĩ xem đầy đủ hồ sơ; có cảnh báo dị ứng thì hiện nổi bật ở đầu trang; lịch sử khám sắp mới nhất trước.</t>
  </si>
  <si>
    <t>Service + Màn hình</t>
  </si>
  <si>
    <t>BN-07</t>
  </si>
  <si>
    <t>Hồ sơ Đã đóng chỉ xem, không sửa tiền sử, dị ứng.</t>
  </si>
  <si>
    <t>BN-08</t>
  </si>
  <si>
    <t>Chỉ Nha sĩ và Y tá được sửa; mỗi thay đổi ghi nhật ký (giá trị cũ -&gt; mới).</t>
  </si>
  <si>
    <t>BN-09</t>
  </si>
  <si>
    <t>Danh sách dị ứng được chuẩn hóa: các tác nhân cách nhau dấu phẩy, bỏ khoảng trắng thừa, bỏ trùng lặp. Dị ứng mới có hiệu lực ngay cho kê đơn và chọn vật liệu.</t>
  </si>
  <si>
    <t>BN-10</t>
  </si>
  <si>
    <t>Chỉ hiện liệu trình của đúng bệnh nhân đang xem, liệu trình Đang thực hiện xếp trước; chỉ xem, không sửa.</t>
  </si>
  <si>
    <t>BN-11</t>
  </si>
  <si>
    <t>Cảnh báo (không chặn) khi dịch vụ yêu cầu liệu trình (điều trị tủy, niềng, implant, cầu răng) mà bệnh nhân chưa có liệu trình Đang thực hiện.</t>
  </si>
  <si>
    <t>LH-01</t>
  </si>
  <si>
    <t>Xem theo ngày hoặc tuần; chỉ Lễ tân thấy lịch của mọi Nha sĩ; khung giờ trống tính từ ca trực trừ các lịch đã đặt.</t>
  </si>
  <si>
    <t>LH-02</t>
  </si>
  <si>
    <t>Bệnh nhân phải Đang điều trị; dịch vụ phải đang hoạt động; Nha sĩ phải có ca trực Có mặt vào ngày và ca đó và chứng chỉ hành nghề còn hạn.</t>
  </si>
  <si>
    <t>LH-03</t>
  </si>
  <si>
    <t>Không trùng giờ: cùng Nha sĩ không có hai lịch chồng thời lượng dịch vụ; cùng bệnh nhân không có hai lịch chồng nhau. Giờ hẹn nằm trong giờ làm việc (CH-05).</t>
  </si>
  <si>
    <t>LH-04</t>
  </si>
  <si>
    <t>Lịch mới ở trạng thái Chờ xác nhận; thời lượng lấy từ thời gian dự kiến của dịch vụ.</t>
  </si>
  <si>
    <t>LH-05</t>
  </si>
  <si>
    <t>Chỉ lịch Chờ xác nhận hoặc Đã xác nhận mới dời hoặc hủy; lịch đã Hoàn thành, Không đến, Đã hủy không đổi được.</t>
  </si>
  <si>
    <t>LH-06</t>
  </si>
  <si>
    <t>Hủy bắt buộc có lý do; không hủy hoặc dời lịch đang có lượt khám Đang khám; dời phải qua đủ ràng buộc LH-02, LH-03.</t>
  </si>
  <si>
    <t>LH-07</t>
  </si>
  <si>
    <t>Chỉ xác nhận lịch Chờ xác nhận (kể cả lịch tái khám do Nha sĩ tạo); kiểm tra lại trùng giờ và ca trực lúc xác nhận.</t>
  </si>
  <si>
    <t>LH-08</t>
  </si>
  <si>
    <t>Nha sĩ chỉ thấy lịch của chính mình; Y tá chỉ thấy ca hỗ trợ trong ca trực của mình kèm tên Nha sĩ phụ trách; chỉ xem, không sửa.</t>
  </si>
  <si>
    <t>LK-01</t>
  </si>
  <si>
    <t>Chỉ Nha sĩ được bắt đầu khám; Nha sĩ phải có ca trực hôm nay và chứng chỉ hành nghề còn hạn.</t>
  </si>
  <si>
    <t>LK-02</t>
  </si>
  <si>
    <t>Khám theo lịch: lịch phải Đã xác nhận, đúng ngày hôm nay và đúng Nha sĩ phụ trách. Khám vãng lai (không có lịch) vẫn được nhưng ghi rõ.</t>
  </si>
  <si>
    <t>LK-03</t>
  </si>
  <si>
    <t>Một bệnh nhân chỉ có một lượt Đang khám; một Nha sĩ chỉ khám một bệnh nhân tại một thời điểm.</t>
  </si>
  <si>
    <t>LK-04</t>
  </si>
  <si>
    <t>Chỉ Nha sĩ phụ trách sửa lượt khám Đang khám; hoàn tất khám phải có chẩn đoán và ít nhất một dịch vụ hoặc một răng được ghi.</t>
  </si>
  <si>
    <t>LK-05</t>
  </si>
  <si>
    <t>Khi hoàn tất khám: ghi giờ kết thúc (sau giờ bắt đầu), khóa lượt khám (CH-02) và chuyển lịch hẹn liên kết sang Hoàn thành.</t>
  </si>
  <si>
    <t>LK-06</t>
  </si>
  <si>
    <t>Chỉ kê khi lượt khám Đang khám; đơn không được rỗng khi lưu; thuốc trùng cảnh báo dị ứng của bệnh nhân bị chặn kèm tên tác nhân.</t>
  </si>
  <si>
    <t>LK-07</t>
  </si>
  <si>
    <t>Số răng theo FDI hợp lệ (11-18, 21-28, 31-38, 41-48); mỗi răng và mặt răng chỉ một bản ghi trong một lượt khám.</t>
  </si>
  <si>
    <t>LK-08</t>
  </si>
  <si>
    <t>Răng đã nhổ ở lượt khám trước chỉ được ghi Đã nhổ, Implant, Cầu răng và chỉ chọn dịch vụ Implant hoặc Cầu răng.</t>
  </si>
  <si>
    <t>LK-09</t>
  </si>
  <si>
    <t>Dịch vụ chọn phải đang hoạt động; vật liệu không được trùng cảnh báo dị ứng.</t>
  </si>
  <si>
    <t>LK-10</t>
  </si>
  <si>
    <t>Ngày tái khám phải sau ngày khám; mỗi lượt khám có tối đa một lịch tái khám.</t>
  </si>
  <si>
    <t>LK-11</t>
  </si>
  <si>
    <t>Tái khám tạo lịch hẹn Chờ xác nhận (gọi Trường) và đi qua đủ ràng buộc đặt lịch LH-02, LH-03; nếu tạo lịch lỗi thì không lưu ngày tái khám.</t>
  </si>
  <si>
    <t>LK-12</t>
  </si>
  <si>
    <t>Chỉ Y tá thao tác; dụng cụ lấy theo dịch vụ của ca khám; dụng cụ chưa Đã tiệt trùng thì không chuyển được sang Đang sử dụng và báo rõ dụng cụ nào.</t>
  </si>
  <si>
    <t>LK-13</t>
  </si>
  <si>
    <t>Dụng cụ đang Đang sử dụng cho ca khác thì không cấp cho ca này.</t>
  </si>
  <si>
    <t>HD-01</t>
  </si>
  <si>
    <t>Chỉ hiện lượt khám Hoàn thành chưa có hóa đơn; lượt khám đã gắn hóa đơn không hiện lại.</t>
  </si>
  <si>
    <t>HD-02</t>
  </si>
  <si>
    <t>Chỉ lập từ lượt khám Hoàn thành chưa gắn hóa đơn; mỗi lượt khám đúng một hóa đơn (gắn một lần); hóa đơn có ít nhất một dòng chi tiết.</t>
  </si>
  <si>
    <t>HD-03</t>
  </si>
  <si>
    <t>Tổng tiền = tổng (đơn giá x số lượng) - giảm giá + thuế VAT; giảm giá không vượt tổng tiền dịch vụ; đơn giá lấy theo giá dịch vụ lúc lập và lưu cố định (đổi giá sau không ảnh hưởng hóa đơn cũ).</t>
  </si>
  <si>
    <t>HD-04</t>
  </si>
  <si>
    <t>Dòng chi tiết lấy từ dịch vụ đã thực hiện của lượt khám (gồm dịch vụ gắn răng và không gắn răng), không tự thêm dịch vụ ngoài lượt khám.</t>
  </si>
  <si>
    <t>HD-05</t>
  </si>
  <si>
    <t>Chỉ thanh toán hóa đơn Chưa thanh toán; hình thức: Tiền mặt, Chuyển khoản, Thẻ, Ví điện tử; thanh toán xong thì khóa hóa đơn.</t>
  </si>
  <si>
    <t>HD-06</t>
  </si>
  <si>
    <t>Chỉ in hóa đơn khi đã thanh toán; hóa đơn Đã hủy không in.</t>
  </si>
  <si>
    <t>Màn hình + Service</t>
  </si>
  <si>
    <t>DV-01</t>
  </si>
  <si>
    <t>Mọi vai trò được xem; Nha sĩ và Lễ tân chỉ thấy dịch vụ đang hoạt động; chỉ xem giá và thời gian, không sửa.</t>
  </si>
  <si>
    <t>DV-02</t>
  </si>
  <si>
    <t>Chỉ Quản lý; tên dịch vụ bắt buộc và không trùng; giá không âm; thời gian dự kiến lớn hơn 0.</t>
  </si>
  <si>
    <t>DV-03</t>
  </si>
  <si>
    <t>Đổi giá chỉ áp dụng cho lịch và hóa đơn lập sau đó; mọi thay đổi giá ghi nhật ký.</t>
  </si>
  <si>
    <t>NV-01</t>
  </si>
  <si>
    <t>Chỉ Quản lý; họ tên, vai trò bắt buộc; số điện thoại 10 số; Nha sĩ bắt buộc có số và ngày hết hạn chứng chỉ hành nghề.</t>
  </si>
  <si>
    <t>NV-02</t>
  </si>
  <si>
    <t>Nha sĩ hết hạn chứng chỉ thì không được xếp ca, nhận lịch hay bắt đầu khám; báo cảnh báo khi còn 30 ngày.</t>
  </si>
  <si>
    <t>NV-03</t>
  </si>
  <si>
    <t>Không xóa nhân viên, chỉ chuyển sang Nghỉ việc; nhân viên Nghỉ việc không được xếp ca và tài khoản bị khóa.</t>
  </si>
  <si>
    <t>NV-04</t>
  </si>
  <si>
    <t>Chỉ xếp nhân viên Đang làm việc; không xếp ca trong quá khứ; một nhân viên không có hai ca trùng ngày và ca.</t>
  </si>
  <si>
    <t>NV-05</t>
  </si>
  <si>
    <t>Mỗi phòng và ca tối đa một Nha sĩ; Lễ tân xếp ở quầy lễ tân; không xóa ca đã có lịch hẹn của Nha sĩ đó.</t>
  </si>
  <si>
    <t>TK-01</t>
  </si>
  <si>
    <t>Sai mật khẩu 5 lần liên tiếp thì khóa tài khoản; tài khoản khóa không đăng nhập được; đăng nhập đúng thì xóa bộ đếm sai; ghi nhật ký đăng nhập thất bại.</t>
  </si>
  <si>
    <t>TK-02</t>
  </si>
  <si>
    <t>Chỉ nhân viên Đang làm việc đăng nhập được; sau đăng nhập mở menu theo vai trò (CH-01); đăng xuất xóa người dùng hiện tại.</t>
  </si>
  <si>
    <t>TK-03</t>
  </si>
  <si>
    <t>Chỉ Quản lý; mỗi nhân viên đúng một tài khoản; tên đăng nhập không trùng, từ 4 ký tự, không dấu cách; mật khẩu từ 6 ký tự.</t>
  </si>
  <si>
    <t>TK-04</t>
  </si>
  <si>
    <t>Vai trò tài khoản luôn bằng vai trò của nhân viên; không tự hạ quyền hay khóa chính mình; luôn còn ít nhất một tài khoản Quản lý hoạt động.</t>
  </si>
  <si>
    <t>Ràng buộc chung</t>
  </si>
  <si>
    <t>CH-01</t>
  </si>
  <si>
    <t>Chung</t>
  </si>
  <si>
    <t>Mọi chức năng</t>
  </si>
  <si>
    <t>Phải đăng nhập mới dùng được chương trình; menu và chức năng chỉ hiện đúng vai trò (cột 'Vai trò dùng' trong sheet Chức năng).</t>
  </si>
  <si>
    <t>CH-02</t>
  </si>
  <si>
    <t>Không xóa dữ liệu nghiệp vụ (bệnh nhân, hóa đơn, lượt khám, dịch vụ...). Chỉ đổi trạng thái; dữ liệu đã chốt (lượt khám Hoàn thành, hóa đơn Đã thanh toán) thì khóa.</t>
  </si>
  <si>
    <t>CH-03</t>
  </si>
  <si>
    <t>Thao tác nhạy cảm phải ghi nhật ký (người làm, giờ, giá trị cũ -&gt; mới): sửa giá dịch vụ, sửa tiền sử/dị ứng, gán vai trò, khóa tài khoản, hủy hóa đơn, hủy lịch.</t>
  </si>
  <si>
    <t>CH-04</t>
  </si>
  <si>
    <t>Mọi kiểm tra nằm ở Service và báo bằng thông báo tiếng Việt dễ hiểu (NghiepVuException); màn hình không hiện lỗi SQL thô.</t>
  </si>
  <si>
    <t>CH-05</t>
  </si>
  <si>
    <t>Giờ làm việc: ca Sáng 08:00-12:00, ca Chiều 13:00-17:00. Không đặt hay dời lịch về quá khứ.</t>
  </si>
  <si>
    <t>CH-06</t>
  </si>
  <si>
    <t>Mã (BN, HS, LK, HD...) do hệ thống sinh, người dùng không nhập và không sửa.</t>
  </si>
  <si>
    <t>CH-07</t>
  </si>
  <si>
    <t>Người dùng chỉ sửa dữ liệu thuộc chức năng của mình; muốn đổi dữ liệu của người khác phải gọi Service của người đó (xem sheet Điểm ghép nối).</t>
  </si>
  <si>
    <t>Vòng đời trạng thái</t>
  </si>
  <si>
    <t>Chờ xác nhận -&gt; Đã xác nhận -&gt; Hoàn thành | Không đến. Chờ xác nhận và Đã xác nhận có thể -&gt; Đã hủy (bắt buộc lý do). Hoàn thành, Không đến, Đã hủy là trạng thái cuối, không sửa.</t>
  </si>
  <si>
    <t>Đang khám -&gt; Hoàn thành. Đang khám có thể -&gt; Đã hủy. Hoàn thành thì khóa: không sửa chẩn đoán, đơn thuốc, sơ đồ răng, dịch vụ.</t>
  </si>
  <si>
    <t>Chưa thanh toán -&gt; Đã thanh toán. Chưa thanh toán có thể -&gt; Đã hủy. Đã thanh toán thì khóa, không sửa, không hủy.</t>
  </si>
  <si>
    <t>Dụng cụ</t>
  </si>
  <si>
    <t>Chờ xử lý -&gt; Đã tiệt trùng -&gt; Đang sử dụng -&gt; Chờ xử lý. Chỉ dụng cụ Đã tiệt trùng mới được chuyển sang Đang sử dụng.</t>
  </si>
  <si>
    <t>Hoạt động -&gt; Bị khóa -&gt; Hoạt động. Khóa tự động sau 5 lần đăng nhập sai liên tiếp; chỉ Quản lý mở khóa.</t>
  </si>
  <si>
    <t>23 MÀN HÌNH VÀ NGƯỜI LÀM</t>
  </si>
  <si>
    <t>Mỗi màn hình có đúng một người làm, viết thành một lớp Java rồi gắn vào hàm taoManHinh trong MainApp. Wireframe tham khảo trong tai_lieu/mockup và tai_lieu/thiet_ke/PhanLuongManHinh_NhaKhoaKim.xlsx.</t>
  </si>
  <si>
    <t>Tên màn hình</t>
  </si>
  <si>
    <t>Loại màn hình (slide Review 3)</t>
  </si>
  <si>
    <t>Tên lớp giao diện</t>
  </si>
  <si>
    <t>MH01</t>
  </si>
  <si>
    <t>Đăng nhập</t>
  </si>
  <si>
    <t>Nhập liệu xử lý</t>
  </si>
  <si>
    <t>Tất cả</t>
  </si>
  <si>
    <t>ManHinhDangNhap</t>
  </si>
  <si>
    <t>MH02</t>
  </si>
  <si>
    <t>Trang chủ và menu theo đối tượng (ĐÃ XONG)</t>
  </si>
  <si>
    <t>Màn hình chính</t>
  </si>
  <si>
    <t>MainApp</t>
  </si>
  <si>
    <t>MH06</t>
  </si>
  <si>
    <t>Lịch làm việc</t>
  </si>
  <si>
    <t>Màn hình kết quả</t>
  </si>
  <si>
    <t>ManHinhLichLamViec</t>
  </si>
  <si>
    <t>MH07</t>
  </si>
  <si>
    <t>Chi tiết lịch hẹn</t>
  </si>
  <si>
    <t>ManHinhChiTietLichHen</t>
  </si>
  <si>
    <t>MH08</t>
  </si>
  <si>
    <t>Tra cứu bệnh nhân</t>
  </si>
  <si>
    <t>Màn hình tra cứu</t>
  </si>
  <si>
    <t>ManHinhTraCuuBenhNhan</t>
  </si>
  <si>
    <t>MH09</t>
  </si>
  <si>
    <t>Hồ sơ bệnh án (kèm tiền sử, dị ứng, liệu trình)</t>
  </si>
  <si>
    <t>ManHinhHoSoBenhAn</t>
  </si>
  <si>
    <t>MH10</t>
  </si>
  <si>
    <t>Khám &amp; điều trị (kèm kê đơn thuốc)</t>
  </si>
  <si>
    <t>Màn hình nhập dữ liệu</t>
  </si>
  <si>
    <t>ManHinhKhamDieuTri</t>
  </si>
  <si>
    <t>MH11</t>
  </si>
  <si>
    <t>ManHinhSoDoRang</t>
  </si>
  <si>
    <t>MH12</t>
  </si>
  <si>
    <t>Màn hình nhập liệu xử lý</t>
  </si>
  <si>
    <t>ManHinhChiDinhTaiKham</t>
  </si>
  <si>
    <t>MH13</t>
  </si>
  <si>
    <t>ManHinhHoSoBenhNhan</t>
  </si>
  <si>
    <t>MH14</t>
  </si>
  <si>
    <t>ManHinhChuanBiDungCu</t>
  </si>
  <si>
    <t>MH17</t>
  </si>
  <si>
    <t>Lịch hẹn (xem, xác nhận)</t>
  </si>
  <si>
    <t>ManHinhLichHen</t>
  </si>
  <si>
    <t>MH18</t>
  </si>
  <si>
    <t>Đặt lịch hẹn mới</t>
  </si>
  <si>
    <t>ManHinhDatLichHen</t>
  </si>
  <si>
    <t>MH19</t>
  </si>
  <si>
    <t>Dời / Hủy lịch hẹn</t>
  </si>
  <si>
    <t>ManHinhDoiHuyLichHen</t>
  </si>
  <si>
    <t>MH20</t>
  </si>
  <si>
    <t>ManHinhChoThanhToan</t>
  </si>
  <si>
    <t>MH21</t>
  </si>
  <si>
    <t>ManHinhLapHoaDon</t>
  </si>
  <si>
    <t>MH22</t>
  </si>
  <si>
    <t>ManHinhThanhToan</t>
  </si>
  <si>
    <t>MH24</t>
  </si>
  <si>
    <t>Bảng phân công ca trực</t>
  </si>
  <si>
    <t>ManHinhPhanCongCaTruc</t>
  </si>
  <si>
    <t>MH27</t>
  </si>
  <si>
    <t>Danh mục dịch vụ &amp; giá</t>
  </si>
  <si>
    <t>ManHinhDanhMucDichVu</t>
  </si>
  <si>
    <t>MH28</t>
  </si>
  <si>
    <t>ManHinhCapNhatDichVu</t>
  </si>
  <si>
    <t>MH36</t>
  </si>
  <si>
    <t>Chọn dịch vụ điều trị (hộp thoại khi khám)</t>
  </si>
  <si>
    <t>HopThoaiChonDichVu</t>
  </si>
  <si>
    <t>MH37</t>
  </si>
  <si>
    <t>Hồ sơ nhân viên</t>
  </si>
  <si>
    <t>ManHinhHoSoNhanVien</t>
  </si>
  <si>
    <t>MH38</t>
  </si>
  <si>
    <t>ManHinhTaiKhoan</t>
  </si>
  <si>
    <t>ENTITY, BẢNG CSDL VÀ NGƯỜI SỞ HỮU</t>
  </si>
  <si>
    <t>Người sở hữu viết entity, DAO, Service của lớp đó; người khác chỉ gọi qua Service (không viết SQL lên bảng của người khác). Chi tiết cột nằm trong chuong_trinh/csdl/01_schema.sql (Hậu viết, việc T05).</t>
  </si>
  <si>
    <t>Lớp (entity)</t>
  </si>
  <si>
    <t>Bảng</t>
  </si>
  <si>
    <t>Khóa chính</t>
  </si>
  <si>
    <t>Tiền tố mã</t>
  </si>
  <si>
    <t>Người sở hữu</t>
  </si>
  <si>
    <t>Khóa ngoại chính</t>
  </si>
  <si>
    <t>DAO</t>
  </si>
  <si>
    <t>Ghi chú</t>
  </si>
  <si>
    <t>BenhNhan</t>
  </si>
  <si>
    <t>maBN</t>
  </si>
  <si>
    <t>BN</t>
  </si>
  <si>
    <t>-</t>
  </si>
  <si>
    <t>BenhNhanDAO</t>
  </si>
  <si>
    <t>BenhNhanService</t>
  </si>
  <si>
    <t>Tạo kèm 1 HoSoBenhAn rỗng (gọi HoSoBenhAnService)</t>
  </si>
  <si>
    <t>HoSoBenhAn</t>
  </si>
  <si>
    <t>maHoSo</t>
  </si>
  <si>
    <t>HS</t>
  </si>
  <si>
    <t>maBN (1-1)</t>
  </si>
  <si>
    <t>HoSoBenhAnDAO</t>
  </si>
  <si>
    <t>HoSoBenhAnService</t>
  </si>
  <si>
    <t>Composition với BenhNhan; chứa tiền sử bệnh và cảnh báo dị ứng</t>
  </si>
  <si>
    <t>LieuTrinh</t>
  </si>
  <si>
    <t>maLieuTrinh</t>
  </si>
  <si>
    <t>LT</t>
  </si>
  <si>
    <t>maBN, maNhaSiPhuTrach</t>
  </si>
  <si>
    <t>LieuTrinhDAO</t>
  </si>
  <si>
    <t>LieuTrinhService</t>
  </si>
  <si>
    <t>Chỉ cần đọc để hiện trong hồ sơ bệnh án</t>
  </si>
  <si>
    <t>LuotKham</t>
  </si>
  <si>
    <t>maLuotKham</t>
  </si>
  <si>
    <t>LK</t>
  </si>
  <si>
    <t>maHoSo, maNhanVienPhuTrach, maLieuTrinh, maHoaDon</t>
  </si>
  <si>
    <t>LuotKhamDAO</t>
  </si>
  <si>
    <t>LuotKhamService</t>
  </si>
  <si>
    <t>maHoaDon rỗng đến khi lập hóa đơn</t>
  </si>
  <si>
    <t>LuotKhamDichVu</t>
  </si>
  <si>
    <t>maDong (IDENTITY)</t>
  </si>
  <si>
    <t>maLuotKham, maDichVu</t>
  </si>
  <si>
    <t>LuotKhamDichVuDAO</t>
  </si>
  <si>
    <t>(qua LuotKhamService)</t>
  </si>
  <si>
    <t>Dịch vụ không gắn răng của lượt khám</t>
  </si>
  <si>
    <t>RangDieuTri</t>
  </si>
  <si>
    <t>maBanGhi</t>
  </si>
  <si>
    <t>BG</t>
  </si>
  <si>
    <t>RangDieuTriDAO</t>
  </si>
  <si>
    <t>RangDieuTriService</t>
  </si>
  <si>
    <t>soFDI thuộc 11-18, 21-28, 31-38, 41-48</t>
  </si>
  <si>
    <t>DungCu</t>
  </si>
  <si>
    <t>DungCu (+ DichVuDungCu)</t>
  </si>
  <si>
    <t>maDungCu</t>
  </si>
  <si>
    <t>DC</t>
  </si>
  <si>
    <t>DungCuDAO</t>
  </si>
  <si>
    <t>DungCuService</t>
  </si>
  <si>
    <t>DichVuDungCu = dụng cụ cần cho từng dịch vụ</t>
  </si>
  <si>
    <t>LichHen</t>
  </si>
  <si>
    <t>maLichHen</t>
  </si>
  <si>
    <t>LH</t>
  </si>
  <si>
    <t>maBN, maNhanVien, maDichVu</t>
  </si>
  <si>
    <t>LichHenDAO</t>
  </si>
  <si>
    <t>LichHenService</t>
  </si>
  <si>
    <t>Lịch tái khám do Nha sĩ tạo có trạng thái Chờ xác nhận</t>
  </si>
  <si>
    <t>HoaDon</t>
  </si>
  <si>
    <t>maHoaDon</t>
  </si>
  <si>
    <t>HD</t>
  </si>
  <si>
    <t>maBN, maNhanVienLap</t>
  </si>
  <si>
    <t>HoaDonDAO</t>
  </si>
  <si>
    <t>HoaDonService</t>
  </si>
  <si>
    <t>tongTien là thuộc tính dẫn xuất, tính bằng tinhTongTien()</t>
  </si>
  <si>
    <t>ChiTietHoaDon</t>
  </si>
  <si>
    <t>maChiTiet</t>
  </si>
  <si>
    <t>CT</t>
  </si>
  <si>
    <t>maHoaDon, maDichVu</t>
  </si>
  <si>
    <t>ChiTietHoaDonDAO</t>
  </si>
  <si>
    <t>(qua HoaDonService)</t>
  </si>
  <si>
    <t>Composition với HoaDon</t>
  </si>
  <si>
    <t>NhanVien</t>
  </si>
  <si>
    <t>maNV</t>
  </si>
  <si>
    <t>NV</t>
  </si>
  <si>
    <t>NhanVienDAO</t>
  </si>
  <si>
    <t>NhanVienService</t>
  </si>
  <si>
    <t>Có chứng chỉ hành nghề cho Nha sĩ</t>
  </si>
  <si>
    <t>TaiKhoan</t>
  </si>
  <si>
    <t>maTaiKhoan</t>
  </si>
  <si>
    <t>TK</t>
  </si>
  <si>
    <t>maNV (1-1)</t>
  </si>
  <si>
    <t>TaiKhoanDAO</t>
  </si>
  <si>
    <t>TaiKhoanService</t>
  </si>
  <si>
    <t>Mật khẩu băm BCrypt</t>
  </si>
  <si>
    <t>DichVu</t>
  </si>
  <si>
    <t>maDichVu</t>
  </si>
  <si>
    <t>DV</t>
  </si>
  <si>
    <t>DichVuDAO</t>
  </si>
  <si>
    <t>DichVuService</t>
  </si>
  <si>
    <t>Mọi module đọc dùng chung</t>
  </si>
  <si>
    <t>CaTruc</t>
  </si>
  <si>
    <t>maCaTruc</t>
  </si>
  <si>
    <t>CA</t>
  </si>
  <si>
    <t>CaTrucDAO</t>
  </si>
  <si>
    <t>CaTrucService</t>
  </si>
  <si>
    <t>Nguồn dữ liệu cho Xem lịch làm việc</t>
  </si>
  <si>
    <t>NhatKyHeThong</t>
  </si>
  <si>
    <t>maNhatKy (IDENTITY)</t>
  </si>
  <si>
    <t>maNhanVien</t>
  </si>
  <si>
    <t>NhatKyDAO</t>
  </si>
  <si>
    <t>NhatKyService</t>
  </si>
  <si>
    <t>Chỉ ghi, không có màn hình; gọi ghiNhatKy() khi sửa giá, sửa dị ứng, gán vai trò</t>
  </si>
  <si>
    <t>ĐIỂM GHÉP NỐI GIỮA CÁC THÀNH VIÊN (HỢP ĐỒNG HÀM)</t>
  </si>
  <si>
    <t>Bên cung cấp phải giữ đúng tên hàm và ý nghĩa. Muốn đổi: báo cả nhóm trước, sửa file này, rồi mới đổi code. Trước hạn, bên cung cấp có thể trả dữ liệu mẫu cố định để bên dùng làm tiếp.</t>
  </si>
  <si>
    <t>Bên cung cấp</t>
  </si>
  <si>
    <t>Bên sử dụng</t>
  </si>
  <si>
    <t>Hàm</t>
  </si>
  <si>
    <t>Ý nghĩa / ghi chú</t>
  </si>
  <si>
    <t>Hạn xong</t>
  </si>
  <si>
    <t>DatabaseConnection.getConnection()</t>
  </si>
  <si>
    <t>Lấy kết nối SQL Server từ config/database.properties</t>
  </si>
  <si>
    <t>MaGenerator.taoMa(String tienTo)</t>
  </si>
  <si>
    <t>Sinh mã dạng BN000001, HS000001...</t>
  </si>
  <si>
    <t>PhienLamViec.getNhanVienHienTai() / getVaiTro()</t>
  </si>
  <si>
    <t>Người dùng đang đăng nhập</t>
  </si>
  <si>
    <t>Tuần 1 (bản tạm), Tuần 2 (thật)</t>
  </si>
  <si>
    <t>NhatKyService.ghiNhatKy(maNV, hanhDong, doiTuong, maDoiTuong, chiTiet)</t>
  </si>
  <si>
    <t>Ghi nhật ký cho mọi thao tác nhạy cảm</t>
  </si>
  <si>
    <t>Hậu, Trường</t>
  </si>
  <si>
    <t>DichVuService.layTatCa() / timTheoLoai(loai) / timTheoMa(ma)</t>
  </si>
  <si>
    <t>Danh mục dịch vụ (chỉ đọc cho Hậu, Trường)</t>
  </si>
  <si>
    <t>NhanVienService.timTheoMa(ma) / layTheoVaiTro(vaiTro)</t>
  </si>
  <si>
    <t>Chọn Nha sĩ khi khám, đặt lịch</t>
  </si>
  <si>
    <t>CaTrucService.layTheoNhanVienVaKhoang(maNV, tu, den)</t>
  </si>
  <si>
    <t>Dữ liệu cho MH06 Lịch làm việc</t>
  </si>
  <si>
    <t>BenhNhanService.timTheoMa(maBN) / timKiem(tuKhoa)</t>
  </si>
  <si>
    <t>Hậu lấy thông tin hành chính bệnh nhân</t>
  </si>
  <si>
    <t>HoSoBenhAnService.taoHoSoRong(maBN)</t>
  </si>
  <si>
    <t>Trường gọi khi tạo bệnh nhân mới (cùng transaction)</t>
  </si>
  <si>
    <t>LichHenService.layTheoNhanVien(maNV, tu, den)</t>
  </si>
  <si>
    <t>Hậu hiển thị MH06, MH07</t>
  </si>
  <si>
    <t>LichHenService.taoLichTaiKham(maBN, maDichVu, ngay, maNV)</t>
  </si>
  <si>
    <t>MH12 tạo lịch tái khám, trạng thái Chờ xác nhận</t>
  </si>
  <si>
    <t>LuotKhamService.layLuotKhamChoThanhToan()</t>
  </si>
  <si>
    <t>MH20 liệt kê lượt khám đã hoàn tất, chưa có hóa đơn</t>
  </si>
  <si>
    <t>LuotKhamService.layDichVuDaThucHien(maLuotKham)</t>
  </si>
  <si>
    <t>Trả List&lt;LuotKhamDichVu&gt; đã gộp theo dịch vụ (gắn răng + không gắn răng) để lập chi tiết hóa đơn</t>
  </si>
  <si>
    <t>LuotKhamService.ganHoaDon(maLuotKham, maHoaDon)</t>
  </si>
  <si>
    <t>Trường gọi sau khi tạo hóa đơn để lượt khám không hiện lại ở danh sách chờ thanh toán</t>
  </si>
  <si>
    <t>HoaDonService.taoTuLuotKham(maLuotKham)</t>
  </si>
  <si>
    <t>Tạo hóa đơn và gán maHoaDon vào lượt khám</t>
  </si>
  <si>
    <t>LichHenService.layTheoMa(maLichHen)</t>
  </si>
  <si>
    <t>Hậu kiểm tra lịch Đã xác nhận, đúng ngày khi bắt đầu khám (LK-02)</t>
  </si>
  <si>
    <t>LichHenService.capNhatTrangThai(maLichHen, trangThai)</t>
  </si>
  <si>
    <t>Hậu chuyển lịch sang Hoàn thành khi hoàn tất khám (LK-05)</t>
  </si>
  <si>
    <t>CaTrucService.coCaTruc(maNV, ngay, caLam)</t>
  </si>
  <si>
    <t>Kiểm tra Nha sĩ có ca trực khi đặt lịch và khi bắt đầu khám (LH-02, LK-01)</t>
  </si>
  <si>
    <t>NhanVienService.chungChiConHan(maNV, ngay)</t>
  </si>
  <si>
    <t>Nha sĩ còn chứng chỉ hành nghề tại ngày đó (LH-02, LK-01, NV-02)</t>
  </si>
  <si>
    <t>HoSoBenhAnService.taoHoSoRong(Connection, maBN)</t>
  </si>
  <si>
    <t>Tạo hồ sơ rỗng cùng giao dịch với việc tạo bệnh nhân (BN-04)</t>
  </si>
  <si>
    <t>QUY ƯỚC VIẾT CODE (THEO SLIDE REVIEW 4: CODING CONVENTION) VÀ LÀM VIỆC NHÓM</t>
  </si>
  <si>
    <t>Hạng mục</t>
  </si>
  <si>
    <t>Ví dụ</t>
  </si>
  <si>
    <t>Thư mục</t>
  </si>
  <si>
    <t>Chữ thường, không dấu cách, không dấu tiếng Việt; dùng gạch dưới nếu cần. Đường dẫn dự án trên máy cũng phải không dấu</t>
  </si>
  <si>
    <t>tai_lieu, chuong_trinh, csdl, ho_so</t>
  </si>
  <si>
    <t>Tên file (ngoài Java)</t>
  </si>
  <si>
    <t>Chữ thường, không dấu cách/tiếng Việt, dùng gạch dưới; mô tả nội dung</t>
  </si>
  <si>
    <t>01_schema.sql, database.properties</t>
  </si>
  <si>
    <t>Package</t>
  </si>
  <si>
    <t>Chữ thường, không gạch dưới</t>
  </si>
  <si>
    <t>nhakhoakim.entity, nhakhoakim.dao, nhakhoakim.service, nhakhoakim.ui, nhakhoakim.util</t>
  </si>
  <si>
    <t>Class / Interface</t>
  </si>
  <si>
    <t>PascalCase, danh từ, bắt đầu bằng chữ cái; tên miền dùng tiếng Việt không dấu</t>
  </si>
  <si>
    <t>BenhNhan, LuotKham, BenhNhanService</t>
  </si>
  <si>
    <t>Phương thức</t>
  </si>
  <si>
    <t>camelCase, bắt đầu bằng động từ</t>
  </si>
  <si>
    <t>timTheoMa, taoLichTaiKham, ghiNhatKy</t>
  </si>
  <si>
    <t>Biến, tham số, thuộc tính</t>
  </si>
  <si>
    <t>camelCase, mô tả rõ nội dung; hằng số viết hoa với gạch dưới</t>
  </si>
  <si>
    <t>maBN, tongTien, TOI_DA_LAN_SAI</t>
  </si>
  <si>
    <t>Exception</t>
  </si>
  <si>
    <t>PascalCase kết thúc bằng Exception</t>
  </si>
  <si>
    <t>NghiepVuException</t>
  </si>
  <si>
    <t>Control JavaFX</t>
  </si>
  <si>
    <t>Tiền tố 3 chữ: txt (TextField), lbl, btn, cmb (ComboBox), tbl (TableView), dtp (DatePicker), chk, rad, pnl, tab, lst, tre, lnk (Hyperlink)</t>
  </si>
  <si>
    <t>txtTenDangNhap, btnDangNhap, tblLichHen, cmbDichVu, lblTen</t>
  </si>
  <si>
    <t>Mỗi màn hình là một lớp Java tên ManHinh + tên màn hình, viết bằng code JavaFX và gắn vào hàm taoManHinh trong MainApp; mỗi màn hình chỉ một công việc</t>
  </si>
  <si>
    <t>ManHinhDatLichHen, ManHinhHoSoBenhAn</t>
  </si>
  <si>
    <t>Comment</t>
  </si>
  <si>
    <t>Bắt buộc cho mọi class, phương thức, thuộc tính và đoạn xử lý khó; viết ngắn, một dòng // hoặc /** */, nói rõ mục đích</t>
  </si>
  <si>
    <t>Xem mẫu trong ChucNang.java và MainApp.java</t>
  </si>
  <si>
    <t>Mã số bảng</t>
  </si>
  <si>
    <t>Chuỗi dạng tiền tố + 6 chữ số, sinh bằng MaGenerator</t>
  </si>
  <si>
    <t>BN000001, HD000123</t>
  </si>
  <si>
    <t>Branch</t>
  </si>
  <si>
    <t>Không commit trực tiếp lên main. Mỗi người một nhánh feature/&lt;ten_viec&gt; tách từ develop; merge vào develop sau khi test và được 1 người khác review</t>
  </si>
  <si>
    <t>feature/dat_lich_hen</t>
  </si>
  <si>
    <t>Commit</t>
  </si>
  <si>
    <t>Một dòng, thể hiện việc đã làm: loại: nội dung ngắn</t>
  </si>
  <si>
    <t>feat: them dat lich hen, fix: sua kiem tra trung lich</t>
  </si>
  <si>
    <t>Review chéo</t>
  </si>
  <si>
    <t>Mỗi Pull Request được 1 thành viên khác duyệt (Hậu duyệt Tâm, Tâm duyệt Trường, Trường duyệt Hậu); cuối Tuần 4 họp review cả nhóm</t>
  </si>
  <si>
    <t>Theo slide Review 4</t>
  </si>
  <si>
    <t>Giao diện</t>
  </si>
  <si>
    <t>Theo 6 loại màn hình của slide Review 3 (chính, nhập dữ liệu, nhập liệu xử lý, kết quả, thông báo, tra cứu); nhất quán vị trí, ngôn ngữ, màu sắc (màu chủ đạo khai báo ở MainApp)</t>
  </si>
  <si>
    <t>Slide Review 3</t>
  </si>
  <si>
    <t>Truy cập dữ liệu</t>
  </si>
  <si>
    <t>Chỉ DAO được viết SQL (PreparedStatement, không nối chuỗi); Service chứa nghiệp vụ và kiểm tra ràng buộc; màn hình chỉ gọi Service</t>
  </si>
  <si>
    <t>Chống SQL injection</t>
  </si>
  <si>
    <t>DANH SÁCH THIẾT LẬP MÔI TRƯỜNG TRƯỚC KHI CODE</t>
  </si>
  <si>
    <t>Cách làm</t>
  </si>
  <si>
    <t>Ai làm</t>
  </si>
  <si>
    <t>Eclipse 2021-09 trở lên (có Maven m2e, Git EGit)</t>
  </si>
  <si>
    <t>Hậu dùng Eclipse 4.21 chạy JRE 11 đi kèm, nên dự án đặt mức Java 11 và JavaFX 17; không cần cài JDK riêng</t>
  </si>
  <si>
    <t>Chưa</t>
  </si>
  <si>
    <t>Đường dẫn dự án không dấu</t>
  </si>
  <si>
    <t>Clone repo vào thư mục như D:\Phongkham_Nhakhoakim. Đường dẫn có dấu tiếng Việt làm Java báo ClassNotFoundException</t>
  </si>
  <si>
    <t>Import dự án</t>
  </si>
  <si>
    <t>File &gt; Import &gt; Maven &gt; Existing Maven Projects, chọn thư mục chuong_trinh (không chọn thư mục gốc repo)</t>
  </si>
  <si>
    <t>Chạy thử</t>
  </si>
  <si>
    <t>Chuột phải src/nhakhoakim/Launcher.java &gt; Run As &gt; Java Application; thấy cửa sổ có menu 7 nhóm</t>
  </si>
  <si>
    <t>SQL Server Express + SSMS</t>
  </si>
  <si>
    <t>Cài instance SQLEXPRESS (Hậu đã có). Tâm, Trường cài mới nếu chưa có</t>
  </si>
  <si>
    <t>Bật TCP/IP và đặt cổng 1433</t>
  </si>
  <si>
    <t>SQL Server Configuration Manager &gt; Network Configuration &gt; TCP/IP; khởi động lại dịch vụ</t>
  </si>
  <si>
    <t>Bật Mixed Mode và tạo login nhakhoa</t>
  </si>
  <si>
    <t>SQL Server properties &gt; Security &gt; SQL Server and Windows Authentication, khởi động lại dịch vụ; tạo login nhakhoa với mật khẩu tự đặt và gán db_owner cho NhaKhoaKim</t>
  </si>
  <si>
    <t>chuong_trinh/config/database.properties</t>
  </si>
  <si>
    <t>Tạo file này từ file mẫu khi Tâm làm xong lớp kết nối (T06); không commit</t>
  </si>
  <si>
    <t>Clone repo và nhánh develop</t>
  </si>
  <si>
    <t>git clone https://github.com/chau248/Phongkham_Nhakhoakim rồi git checkout develop</t>
  </si>
  <si>
    <t>Quyền truy cập repo</t>
  </si>
  <si>
    <t>Hậu (chủ repo chau248) mời Trường và Tâm làm Collaborator</t>
  </si>
  <si>
    <t>Bảo vệ nhánh main/develop</t>
  </si>
  <si>
    <t>GitHub &gt; Settings &gt; Branches: bắt buộc Pull Request và 1 review</t>
  </si>
  <si>
    <t>Ghi 'Xong' vào cột tên mình khi hoàn thành từng mục.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</si>
</sst>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b/>
      <sz val="12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/>
    <xf numFmtId="0" fontId="5" fillId="0" borderId="1" xfId="0" applyFont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showGridLines="0"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0" customWidth="1"/>
    <col min="2" max="2" width="22" customWidth="1"/>
    <col min="3" max="3" width="16" customWidth="1"/>
    <col min="4" max="4" width="56" customWidth="1"/>
    <col min="5" max="5" width="52" customWidth="1"/>
    <col min="6" max="6" width="14" customWidth="1"/>
  </cols>
  <sheetData>
    <row r="1" spans="1:5" ht="21" x14ac:dyDescent="0.4">
      <c r="A1" s="1" t="s">
        <v>0</v>
      </c>
    </row>
    <row r="2" spans="1:5" x14ac:dyDescent="0.3">
      <c r="A2" s="2" t="s">
        <v>1</v>
      </c>
    </row>
    <row r="4" spans="1:5" ht="15.6" x14ac:dyDescent="0.3">
      <c r="A4" s="3" t="s">
        <v>2</v>
      </c>
    </row>
    <row r="5" spans="1:5" ht="34.049999999999997" customHeight="1" x14ac:dyDescent="0.3">
      <c r="A5" s="4" t="s">
        <v>3</v>
      </c>
      <c r="B5" s="22" t="s">
        <v>4</v>
      </c>
      <c r="C5" s="23"/>
      <c r="D5" s="23"/>
      <c r="E5" s="23"/>
    </row>
    <row r="6" spans="1:5" ht="34.049999999999997" customHeight="1" x14ac:dyDescent="0.3">
      <c r="A6" s="4" t="s">
        <v>5</v>
      </c>
      <c r="B6" s="22" t="s">
        <v>6</v>
      </c>
      <c r="C6" s="23"/>
      <c r="D6" s="23"/>
      <c r="E6" s="23"/>
    </row>
    <row r="7" spans="1:5" ht="34.049999999999997" customHeight="1" x14ac:dyDescent="0.3">
      <c r="A7" s="4" t="s">
        <v>7</v>
      </c>
      <c r="B7" s="22" t="s">
        <v>8</v>
      </c>
      <c r="C7" s="23"/>
      <c r="D7" s="23"/>
      <c r="E7" s="23"/>
    </row>
    <row r="8" spans="1:5" ht="34.049999999999997" customHeight="1" x14ac:dyDescent="0.3">
      <c r="A8" s="4" t="s">
        <v>9</v>
      </c>
      <c r="B8" s="22" t="s">
        <v>10</v>
      </c>
      <c r="C8" s="23"/>
      <c r="D8" s="23"/>
      <c r="E8" s="23"/>
    </row>
    <row r="9" spans="1:5" ht="34.049999999999997" customHeight="1" x14ac:dyDescent="0.3">
      <c r="A9" s="4" t="s">
        <v>11</v>
      </c>
      <c r="B9" s="22" t="s">
        <v>12</v>
      </c>
      <c r="C9" s="23"/>
      <c r="D9" s="23"/>
      <c r="E9" s="23"/>
    </row>
    <row r="10" spans="1:5" ht="34.049999999999997" customHeight="1" x14ac:dyDescent="0.3">
      <c r="A10" s="4" t="s">
        <v>13</v>
      </c>
      <c r="B10" s="22" t="s">
        <v>14</v>
      </c>
      <c r="C10" s="23"/>
      <c r="D10" s="23"/>
      <c r="E10" s="23"/>
    </row>
    <row r="12" spans="1:5" ht="15.6" x14ac:dyDescent="0.3">
      <c r="A12" s="3" t="s">
        <v>15</v>
      </c>
    </row>
    <row r="13" spans="1:5" x14ac:dyDescent="0.3">
      <c r="A13" s="6" t="s">
        <v>16</v>
      </c>
      <c r="B13" s="6" t="s">
        <v>17</v>
      </c>
      <c r="C13" s="6" t="s">
        <v>18</v>
      </c>
      <c r="D13" s="6" t="s">
        <v>19</v>
      </c>
      <c r="E13" s="6" t="s">
        <v>20</v>
      </c>
    </row>
    <row r="14" spans="1:5" ht="34.049999999999997" customHeight="1" x14ac:dyDescent="0.3">
      <c r="A14" s="7" t="s">
        <v>21</v>
      </c>
      <c r="B14" s="5" t="s">
        <v>22</v>
      </c>
      <c r="C14" s="5" t="s">
        <v>23</v>
      </c>
      <c r="D14" s="5" t="s">
        <v>24</v>
      </c>
      <c r="E14" s="5" t="s">
        <v>25</v>
      </c>
    </row>
    <row r="15" spans="1:5" ht="34.049999999999997" customHeight="1" x14ac:dyDescent="0.3">
      <c r="A15" s="8" t="s">
        <v>26</v>
      </c>
      <c r="B15" s="5" t="s">
        <v>27</v>
      </c>
      <c r="C15" s="5" t="s">
        <v>28</v>
      </c>
      <c r="D15" s="5" t="s">
        <v>29</v>
      </c>
      <c r="E15" s="5" t="s">
        <v>30</v>
      </c>
    </row>
    <row r="16" spans="1:5" ht="34.049999999999997" customHeight="1" x14ac:dyDescent="0.3">
      <c r="A16" s="9" t="s">
        <v>31</v>
      </c>
      <c r="B16" s="5" t="s">
        <v>32</v>
      </c>
      <c r="C16" s="5" t="s">
        <v>28</v>
      </c>
      <c r="D16" s="5" t="s">
        <v>33</v>
      </c>
      <c r="E16" s="5" t="s">
        <v>34</v>
      </c>
    </row>
    <row r="18" spans="1:5" ht="15.6" x14ac:dyDescent="0.3">
      <c r="A18" s="3" t="s">
        <v>35</v>
      </c>
    </row>
    <row r="19" spans="1:5" x14ac:dyDescent="0.3">
      <c r="A19" s="6" t="s">
        <v>36</v>
      </c>
      <c r="B19" s="6" t="s">
        <v>37</v>
      </c>
      <c r="C19" s="6" t="s">
        <v>38</v>
      </c>
      <c r="D19" s="6" t="s">
        <v>39</v>
      </c>
      <c r="E19" s="6" t="s">
        <v>40</v>
      </c>
    </row>
    <row r="20" spans="1:5" ht="64.05" customHeight="1" x14ac:dyDescent="0.3">
      <c r="A20" s="4" t="s">
        <v>41</v>
      </c>
      <c r="B20" s="5" t="s">
        <v>42</v>
      </c>
      <c r="C20" s="5" t="s">
        <v>43</v>
      </c>
      <c r="D20" s="5" t="s">
        <v>44</v>
      </c>
      <c r="E20" s="5" t="s">
        <v>45</v>
      </c>
    </row>
    <row r="21" spans="1:5" ht="64.05" customHeight="1" x14ac:dyDescent="0.3">
      <c r="A21" s="4" t="s">
        <v>46</v>
      </c>
      <c r="B21" s="5" t="s">
        <v>47</v>
      </c>
      <c r="C21" s="5" t="s">
        <v>48</v>
      </c>
      <c r="D21" s="5" t="s">
        <v>49</v>
      </c>
      <c r="E21" s="5" t="s">
        <v>50</v>
      </c>
    </row>
    <row r="22" spans="1:5" ht="64.05" customHeight="1" x14ac:dyDescent="0.3">
      <c r="A22" s="4" t="s">
        <v>51</v>
      </c>
      <c r="B22" s="5" t="s">
        <v>52</v>
      </c>
      <c r="C22" s="5" t="s">
        <v>53</v>
      </c>
      <c r="D22" s="5" t="s">
        <v>54</v>
      </c>
      <c r="E22" s="5" t="s">
        <v>55</v>
      </c>
    </row>
    <row r="23" spans="1:5" ht="64.05" customHeight="1" x14ac:dyDescent="0.3">
      <c r="A23" s="4" t="s">
        <v>56</v>
      </c>
      <c r="B23" s="5" t="s">
        <v>57</v>
      </c>
      <c r="C23" s="5" t="s">
        <v>58</v>
      </c>
      <c r="D23" s="5" t="s">
        <v>59</v>
      </c>
      <c r="E23" s="5" t="s">
        <v>60</v>
      </c>
    </row>
    <row r="25" spans="1:5" ht="15.6" x14ac:dyDescent="0.3">
      <c r="A25" s="3" t="s">
        <v>61</v>
      </c>
    </row>
    <row r="26" spans="1:5" ht="27.6" x14ac:dyDescent="0.3">
      <c r="A26" s="6" t="s">
        <v>62</v>
      </c>
      <c r="B26" s="6" t="s">
        <v>63</v>
      </c>
      <c r="C26" s="6" t="s">
        <v>64</v>
      </c>
      <c r="D26" s="6" t="s">
        <v>65</v>
      </c>
      <c r="E26" s="6" t="s">
        <v>66</v>
      </c>
    </row>
    <row r="27" spans="1:5" x14ac:dyDescent="0.3">
      <c r="A27" s="10" t="s">
        <v>21</v>
      </c>
      <c r="B27" s="11">
        <f>COUNTIF('Công việc theo người'!$C$5:$C$35,A27)</f>
        <v>10</v>
      </c>
      <c r="C27" s="11">
        <f>COUNTIF('Chức năng'!$G$5:$G$28,A27)</f>
        <v>9</v>
      </c>
      <c r="D27" s="11">
        <f>COUNTIF('Màn hình'!$E$5:$E$27,A27)</f>
        <v>9</v>
      </c>
    </row>
    <row r="28" spans="1:5" x14ac:dyDescent="0.3">
      <c r="A28" s="12" t="s">
        <v>26</v>
      </c>
      <c r="B28" s="11">
        <f>COUNTIF('Công việc theo người'!$C$5:$C$35,A28)</f>
        <v>8</v>
      </c>
      <c r="C28" s="11">
        <f>COUNTIF('Chức năng'!$G$5:$G$28,A28)</f>
        <v>9</v>
      </c>
      <c r="D28" s="11">
        <f>COUNTIF('Màn hình'!$E$5:$E$27,A28)</f>
        <v>8</v>
      </c>
    </row>
    <row r="29" spans="1:5" x14ac:dyDescent="0.3">
      <c r="A29" s="13" t="s">
        <v>31</v>
      </c>
      <c r="B29" s="11">
        <f>COUNTIF('Công việc theo người'!$C$5:$C$35,A29)</f>
        <v>8</v>
      </c>
      <c r="C29" s="11">
        <f>COUNTIF('Chức năng'!$G$5:$G$28,A29)</f>
        <v>6</v>
      </c>
      <c r="D29" s="11">
        <f>COUNTIF('Màn hình'!$E$5:$E$27,A29)</f>
        <v>6</v>
      </c>
    </row>
    <row r="30" spans="1:5" x14ac:dyDescent="0.3">
      <c r="A30" s="14" t="s">
        <v>67</v>
      </c>
      <c r="B30" s="14">
        <f>SUM(B27:B29)</f>
        <v>26</v>
      </c>
      <c r="C30" s="14">
        <f>SUM(C27:C29)</f>
        <v>24</v>
      </c>
      <c r="D30" s="14">
        <f>SUM(D27:D29)</f>
        <v>23</v>
      </c>
      <c r="E30" s="15" t="str">
        <f>IF(AND(C30=COUNTA('Chức năng'!$A$5:$A$28),D30=COUNTA('Màn hình'!$A$5:$A$27)),"Khớp","Lệch")</f>
        <v>Khớp</v>
      </c>
    </row>
    <row r="31" spans="1:5" x14ac:dyDescent="0.3">
      <c r="A31" s="2" t="s">
        <v>68</v>
      </c>
    </row>
    <row r="33" spans="1:5" ht="15.6" x14ac:dyDescent="0.3">
      <c r="A33" s="3" t="s">
        <v>69</v>
      </c>
    </row>
    <row r="34" spans="1:5" ht="31.95" customHeight="1" x14ac:dyDescent="0.3">
      <c r="A34" s="20" t="s">
        <v>70</v>
      </c>
      <c r="B34" s="21"/>
      <c r="C34" s="21"/>
      <c r="D34" s="21"/>
      <c r="E34" s="21"/>
    </row>
    <row r="35" spans="1:5" ht="31.95" customHeight="1" x14ac:dyDescent="0.3">
      <c r="A35" s="20" t="s">
        <v>71</v>
      </c>
      <c r="B35" s="21"/>
      <c r="C35" s="21"/>
      <c r="D35" s="21"/>
      <c r="E35" s="21"/>
    </row>
    <row r="36" spans="1:5" ht="31.95" customHeight="1" x14ac:dyDescent="0.3">
      <c r="A36" s="20" t="s">
        <v>72</v>
      </c>
      <c r="B36" s="21"/>
      <c r="C36" s="21"/>
      <c r="D36" s="21"/>
      <c r="E36" s="21"/>
    </row>
    <row r="37" spans="1:5" ht="31.95" customHeight="1" x14ac:dyDescent="0.3">
      <c r="A37" s="20" t="s">
        <v>73</v>
      </c>
      <c r="B37" s="21"/>
      <c r="C37" s="21"/>
      <c r="D37" s="21"/>
      <c r="E37" s="21"/>
    </row>
    <row r="38" spans="1:5" ht="31.95" customHeight="1" x14ac:dyDescent="0.3">
      <c r="A38" s="20" t="s">
        <v>74</v>
      </c>
      <c r="B38" s="21"/>
      <c r="C38" s="21"/>
      <c r="D38" s="21"/>
      <c r="E38" s="21"/>
    </row>
    <row r="39" spans="1:5" ht="31.95" customHeight="1" x14ac:dyDescent="0.3">
      <c r="A39" s="20" t="s">
        <v>75</v>
      </c>
      <c r="B39" s="21"/>
      <c r="C39" s="21"/>
      <c r="D39" s="21"/>
      <c r="E39" s="21"/>
    </row>
    <row r="40" spans="1:5" ht="31.95" customHeight="1" x14ac:dyDescent="0.3">
      <c r="A40" s="20" t="s">
        <v>76</v>
      </c>
      <c r="B40" s="21"/>
      <c r="C40" s="21"/>
      <c r="D40" s="21"/>
      <c r="E40" s="21"/>
    </row>
    <row r="42" spans="1:5" ht="15.6" x14ac:dyDescent="0.3">
      <c r="A42" s="3" t="s">
        <v>77</v>
      </c>
    </row>
    <row r="43" spans="1:5" ht="31.95" customHeight="1" x14ac:dyDescent="0.3">
      <c r="A43" s="20" t="s">
        <v>78</v>
      </c>
      <c r="B43" s="21"/>
      <c r="C43" s="21"/>
      <c r="D43" s="21"/>
      <c r="E43" s="21"/>
    </row>
    <row r="44" spans="1:5" ht="31.95" customHeight="1" x14ac:dyDescent="0.3">
      <c r="A44" s="20" t="s">
        <v>79</v>
      </c>
      <c r="B44" s="21"/>
      <c r="C44" s="21"/>
      <c r="D44" s="21"/>
      <c r="E44" s="21"/>
    </row>
    <row r="45" spans="1:5" ht="31.95" customHeight="1" x14ac:dyDescent="0.3">
      <c r="A45" s="20" t="s">
        <v>80</v>
      </c>
      <c r="B45" s="21"/>
      <c r="C45" s="21"/>
      <c r="D45" s="21"/>
      <c r="E45" s="21"/>
    </row>
    <row r="46" spans="1:5" ht="31.95" customHeight="1" x14ac:dyDescent="0.3">
      <c r="A46" s="20" t="s">
        <v>81</v>
      </c>
      <c r="B46" s="21"/>
      <c r="C46" s="21"/>
      <c r="D46" s="21"/>
      <c r="E46" s="21"/>
    </row>
    <row r="47" spans="1:5" ht="31.95" customHeight="1" x14ac:dyDescent="0.3">
      <c r="A47" s="20" t="s">
        <v>82</v>
      </c>
      <c r="B47" s="21"/>
      <c r="C47" s="21"/>
      <c r="D47" s="21"/>
      <c r="E47" s="21"/>
    </row>
  </sheetData>
  <mergeCells count="18">
    <mergeCell ref="A47:E47"/>
    <mergeCell ref="A40:E40"/>
    <mergeCell ref="A46:E46"/>
    <mergeCell ref="B5:E5"/>
    <mergeCell ref="A36:E36"/>
    <mergeCell ref="A44:E44"/>
    <mergeCell ref="B10:E10"/>
    <mergeCell ref="A43:E43"/>
    <mergeCell ref="A38:E38"/>
    <mergeCell ref="B6:E6"/>
    <mergeCell ref="B7:E7"/>
    <mergeCell ref="A45:E45"/>
    <mergeCell ref="A37:E37"/>
    <mergeCell ref="A39:E39"/>
    <mergeCell ref="A34:E34"/>
    <mergeCell ref="B9:E9"/>
    <mergeCell ref="A35:E35"/>
    <mergeCell ref="B8:E8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11" customWidth="1"/>
    <col min="4" max="4" width="13" customWidth="1"/>
    <col min="5" max="5" width="72" customWidth="1"/>
    <col min="6" max="6" width="34" customWidth="1"/>
    <col min="7" max="7" width="38" customWidth="1"/>
    <col min="8" max="8" width="12" customWidth="1"/>
    <col min="9" max="9" width="13" customWidth="1"/>
  </cols>
  <sheetData>
    <row r="1" spans="1:9" ht="21" x14ac:dyDescent="0.4">
      <c r="A1" s="1" t="s">
        <v>83</v>
      </c>
    </row>
    <row r="2" spans="1:9" x14ac:dyDescent="0.3">
      <c r="A2" s="2" t="s">
        <v>84</v>
      </c>
    </row>
    <row r="4" spans="1:9" ht="31.95" customHeight="1" x14ac:dyDescent="0.3">
      <c r="A4" s="6" t="s">
        <v>85</v>
      </c>
      <c r="B4" s="6" t="s">
        <v>36</v>
      </c>
      <c r="C4" s="6" t="s">
        <v>86</v>
      </c>
      <c r="D4" s="6" t="s">
        <v>87</v>
      </c>
      <c r="E4" s="6" t="s">
        <v>88</v>
      </c>
      <c r="F4" s="6" t="s">
        <v>89</v>
      </c>
      <c r="G4" s="6" t="s">
        <v>90</v>
      </c>
      <c r="H4" s="6" t="s">
        <v>91</v>
      </c>
      <c r="I4" s="6" t="s">
        <v>92</v>
      </c>
    </row>
    <row r="5" spans="1:9" ht="51" customHeight="1" x14ac:dyDescent="0.3">
      <c r="A5" s="14" t="s">
        <v>93</v>
      </c>
      <c r="B5" s="11" t="s">
        <v>41</v>
      </c>
      <c r="C5" s="16" t="s">
        <v>94</v>
      </c>
      <c r="D5" s="11" t="s">
        <v>95</v>
      </c>
      <c r="E5" s="5" t="s">
        <v>96</v>
      </c>
      <c r="F5" s="5" t="s">
        <v>97</v>
      </c>
      <c r="G5" s="5" t="s">
        <v>98</v>
      </c>
      <c r="H5" s="11" t="s">
        <v>99</v>
      </c>
      <c r="I5" s="11" t="s">
        <v>94</v>
      </c>
    </row>
    <row r="6" spans="1:9" ht="36" customHeight="1" x14ac:dyDescent="0.3">
      <c r="A6" s="14" t="s">
        <v>100</v>
      </c>
      <c r="B6" s="11" t="s">
        <v>41</v>
      </c>
      <c r="C6" s="16" t="s">
        <v>94</v>
      </c>
      <c r="D6" s="11" t="s">
        <v>95</v>
      </c>
      <c r="E6" s="5" t="s">
        <v>101</v>
      </c>
      <c r="F6" s="5" t="s">
        <v>102</v>
      </c>
      <c r="G6" s="5" t="s">
        <v>103</v>
      </c>
      <c r="H6" s="11" t="s">
        <v>99</v>
      </c>
      <c r="I6" s="11" t="s">
        <v>94</v>
      </c>
    </row>
    <row r="7" spans="1:9" ht="36" customHeight="1" x14ac:dyDescent="0.3">
      <c r="A7" s="14" t="s">
        <v>104</v>
      </c>
      <c r="B7" s="11" t="s">
        <v>41</v>
      </c>
      <c r="C7" s="16" t="s">
        <v>94</v>
      </c>
      <c r="D7" s="11" t="s">
        <v>105</v>
      </c>
      <c r="E7" s="5" t="s">
        <v>106</v>
      </c>
      <c r="F7" s="5" t="s">
        <v>107</v>
      </c>
      <c r="G7" s="5" t="s">
        <v>108</v>
      </c>
      <c r="H7" s="11" t="s">
        <v>99</v>
      </c>
      <c r="I7" s="11" t="s">
        <v>94</v>
      </c>
    </row>
    <row r="8" spans="1:9" ht="36" customHeight="1" x14ac:dyDescent="0.3">
      <c r="A8" s="14" t="s">
        <v>109</v>
      </c>
      <c r="B8" s="11" t="s">
        <v>41</v>
      </c>
      <c r="C8" s="17" t="s">
        <v>21</v>
      </c>
      <c r="D8" s="11" t="s">
        <v>110</v>
      </c>
      <c r="E8" s="5" t="s">
        <v>111</v>
      </c>
      <c r="F8" s="5" t="s">
        <v>93</v>
      </c>
      <c r="G8" s="5" t="s">
        <v>112</v>
      </c>
      <c r="H8" s="11" t="s">
        <v>99</v>
      </c>
      <c r="I8" s="11" t="s">
        <v>31</v>
      </c>
    </row>
    <row r="9" spans="1:9" ht="36" customHeight="1" x14ac:dyDescent="0.3">
      <c r="A9" s="14" t="s">
        <v>113</v>
      </c>
      <c r="B9" s="11" t="s">
        <v>41</v>
      </c>
      <c r="C9" s="17" t="s">
        <v>21</v>
      </c>
      <c r="D9" s="11" t="s">
        <v>114</v>
      </c>
      <c r="E9" s="5" t="s">
        <v>115</v>
      </c>
      <c r="F9" s="5" t="s">
        <v>100</v>
      </c>
      <c r="G9" s="5" t="s">
        <v>116</v>
      </c>
      <c r="H9" s="11" t="s">
        <v>99</v>
      </c>
      <c r="I9" s="11" t="s">
        <v>31</v>
      </c>
    </row>
    <row r="10" spans="1:9" ht="36" customHeight="1" x14ac:dyDescent="0.3">
      <c r="A10" s="14" t="s">
        <v>117</v>
      </c>
      <c r="B10" s="11" t="s">
        <v>41</v>
      </c>
      <c r="C10" s="18" t="s">
        <v>31</v>
      </c>
      <c r="D10" s="11" t="s">
        <v>110</v>
      </c>
      <c r="E10" s="5" t="s">
        <v>118</v>
      </c>
      <c r="F10" s="5" t="s">
        <v>119</v>
      </c>
      <c r="G10" s="5" t="s">
        <v>120</v>
      </c>
      <c r="H10" s="11" t="s">
        <v>99</v>
      </c>
      <c r="I10" s="11" t="s">
        <v>26</v>
      </c>
    </row>
    <row r="11" spans="1:9" ht="36" customHeight="1" x14ac:dyDescent="0.3">
      <c r="A11" s="14" t="s">
        <v>121</v>
      </c>
      <c r="B11" s="11" t="s">
        <v>41</v>
      </c>
      <c r="C11" s="18" t="s">
        <v>31</v>
      </c>
      <c r="D11" s="11" t="s">
        <v>110</v>
      </c>
      <c r="E11" s="5" t="s">
        <v>122</v>
      </c>
      <c r="F11" s="5" t="s">
        <v>113</v>
      </c>
      <c r="G11" s="5" t="s">
        <v>123</v>
      </c>
      <c r="H11" s="11" t="s">
        <v>99</v>
      </c>
      <c r="I11" s="11" t="s">
        <v>26</v>
      </c>
    </row>
    <row r="12" spans="1:9" ht="21" customHeight="1" x14ac:dyDescent="0.3">
      <c r="A12" s="14" t="s">
        <v>124</v>
      </c>
      <c r="B12" s="11" t="s">
        <v>41</v>
      </c>
      <c r="C12" s="18" t="s">
        <v>31</v>
      </c>
      <c r="D12" s="11" t="s">
        <v>125</v>
      </c>
      <c r="E12" s="5" t="s">
        <v>126</v>
      </c>
      <c r="F12" s="5" t="s">
        <v>127</v>
      </c>
      <c r="G12" s="5" t="s">
        <v>128</v>
      </c>
      <c r="H12" s="11" t="s">
        <v>99</v>
      </c>
      <c r="I12" s="11" t="s">
        <v>26</v>
      </c>
    </row>
    <row r="13" spans="1:9" ht="36" customHeight="1" x14ac:dyDescent="0.3">
      <c r="A13" s="14" t="s">
        <v>129</v>
      </c>
      <c r="B13" s="11" t="s">
        <v>46</v>
      </c>
      <c r="C13" s="18" t="s">
        <v>31</v>
      </c>
      <c r="D13" s="11" t="s">
        <v>130</v>
      </c>
      <c r="E13" s="5" t="s">
        <v>131</v>
      </c>
      <c r="F13" s="5" t="s">
        <v>124</v>
      </c>
      <c r="G13" s="5" t="s">
        <v>132</v>
      </c>
      <c r="H13" s="11" t="s">
        <v>99</v>
      </c>
      <c r="I13" s="11" t="s">
        <v>26</v>
      </c>
    </row>
    <row r="14" spans="1:9" ht="36" customHeight="1" x14ac:dyDescent="0.3">
      <c r="A14" s="14" t="s">
        <v>133</v>
      </c>
      <c r="B14" s="11" t="s">
        <v>46</v>
      </c>
      <c r="C14" s="18" t="s">
        <v>31</v>
      </c>
      <c r="D14" s="11" t="s">
        <v>134</v>
      </c>
      <c r="E14" s="5" t="s">
        <v>135</v>
      </c>
      <c r="F14" s="5" t="s">
        <v>124</v>
      </c>
      <c r="G14" s="5" t="s">
        <v>136</v>
      </c>
      <c r="H14" s="11" t="s">
        <v>99</v>
      </c>
      <c r="I14" s="11" t="s">
        <v>26</v>
      </c>
    </row>
    <row r="15" spans="1:9" ht="36" customHeight="1" x14ac:dyDescent="0.3">
      <c r="A15" s="14" t="s">
        <v>137</v>
      </c>
      <c r="B15" s="11" t="s">
        <v>46</v>
      </c>
      <c r="C15" s="18" t="s">
        <v>31</v>
      </c>
      <c r="D15" s="11" t="s">
        <v>138</v>
      </c>
      <c r="E15" s="5" t="s">
        <v>139</v>
      </c>
      <c r="F15" s="5" t="s">
        <v>140</v>
      </c>
      <c r="G15" s="5" t="s">
        <v>141</v>
      </c>
      <c r="H15" s="11" t="s">
        <v>99</v>
      </c>
      <c r="I15" s="11" t="s">
        <v>26</v>
      </c>
    </row>
    <row r="16" spans="1:9" ht="36" customHeight="1" x14ac:dyDescent="0.3">
      <c r="A16" s="14" t="s">
        <v>142</v>
      </c>
      <c r="B16" s="11" t="s">
        <v>51</v>
      </c>
      <c r="C16" s="18" t="s">
        <v>31</v>
      </c>
      <c r="D16" s="11" t="s">
        <v>134</v>
      </c>
      <c r="E16" s="5" t="s">
        <v>143</v>
      </c>
      <c r="F16" s="5" t="s">
        <v>144</v>
      </c>
      <c r="G16" s="5" t="s">
        <v>145</v>
      </c>
      <c r="H16" s="11" t="s">
        <v>99</v>
      </c>
      <c r="I16" s="11" t="s">
        <v>26</v>
      </c>
    </row>
    <row r="17" spans="1:9" ht="36" customHeight="1" x14ac:dyDescent="0.3">
      <c r="A17" s="14" t="s">
        <v>146</v>
      </c>
      <c r="B17" s="11" t="s">
        <v>41</v>
      </c>
      <c r="C17" s="17" t="s">
        <v>21</v>
      </c>
      <c r="D17" s="11" t="s">
        <v>125</v>
      </c>
      <c r="E17" s="5" t="s">
        <v>147</v>
      </c>
      <c r="F17" s="5" t="s">
        <v>127</v>
      </c>
      <c r="G17" s="5" t="s">
        <v>128</v>
      </c>
      <c r="H17" s="11" t="s">
        <v>99</v>
      </c>
      <c r="I17" s="11" t="s">
        <v>31</v>
      </c>
    </row>
    <row r="18" spans="1:9" ht="36" customHeight="1" x14ac:dyDescent="0.3">
      <c r="A18" s="14" t="s">
        <v>148</v>
      </c>
      <c r="B18" s="11" t="s">
        <v>41</v>
      </c>
      <c r="C18" s="17" t="s">
        <v>21</v>
      </c>
      <c r="D18" s="11" t="s">
        <v>134</v>
      </c>
      <c r="E18" s="5" t="s">
        <v>149</v>
      </c>
      <c r="F18" s="5" t="s">
        <v>150</v>
      </c>
      <c r="G18" s="5" t="s">
        <v>151</v>
      </c>
      <c r="H18" s="11" t="s">
        <v>99</v>
      </c>
      <c r="I18" s="11" t="s">
        <v>31</v>
      </c>
    </row>
    <row r="19" spans="1:9" ht="36" customHeight="1" x14ac:dyDescent="0.3">
      <c r="A19" s="14" t="s">
        <v>152</v>
      </c>
      <c r="B19" s="11" t="s">
        <v>41</v>
      </c>
      <c r="C19" s="17" t="s">
        <v>21</v>
      </c>
      <c r="D19" s="11" t="s">
        <v>153</v>
      </c>
      <c r="E19" s="5" t="s">
        <v>154</v>
      </c>
      <c r="F19" s="5" t="s">
        <v>155</v>
      </c>
      <c r="G19" s="5" t="s">
        <v>156</v>
      </c>
      <c r="H19" s="11" t="s">
        <v>99</v>
      </c>
      <c r="I19" s="11" t="s">
        <v>31</v>
      </c>
    </row>
    <row r="20" spans="1:9" ht="36" customHeight="1" x14ac:dyDescent="0.3">
      <c r="A20" s="14" t="s">
        <v>157</v>
      </c>
      <c r="B20" s="11" t="s">
        <v>46</v>
      </c>
      <c r="C20" s="17" t="s">
        <v>21</v>
      </c>
      <c r="D20" s="11" t="s">
        <v>130</v>
      </c>
      <c r="E20" s="5" t="s">
        <v>158</v>
      </c>
      <c r="F20" s="5" t="s">
        <v>159</v>
      </c>
      <c r="G20" s="5" t="s">
        <v>160</v>
      </c>
      <c r="H20" s="11" t="s">
        <v>99</v>
      </c>
      <c r="I20" s="11" t="s">
        <v>31</v>
      </c>
    </row>
    <row r="21" spans="1:9" ht="51" customHeight="1" x14ac:dyDescent="0.3">
      <c r="A21" s="14" t="s">
        <v>161</v>
      </c>
      <c r="B21" s="11" t="s">
        <v>46</v>
      </c>
      <c r="C21" s="17" t="s">
        <v>21</v>
      </c>
      <c r="D21" s="11" t="s">
        <v>134</v>
      </c>
      <c r="E21" s="5" t="s">
        <v>162</v>
      </c>
      <c r="F21" s="5" t="s">
        <v>163</v>
      </c>
      <c r="G21" s="5" t="s">
        <v>164</v>
      </c>
      <c r="H21" s="11" t="s">
        <v>99</v>
      </c>
      <c r="I21" s="11" t="s">
        <v>31</v>
      </c>
    </row>
    <row r="22" spans="1:9" ht="36" customHeight="1" x14ac:dyDescent="0.3">
      <c r="A22" s="14" t="s">
        <v>165</v>
      </c>
      <c r="B22" s="11" t="s">
        <v>46</v>
      </c>
      <c r="C22" s="17" t="s">
        <v>21</v>
      </c>
      <c r="D22" s="11" t="s">
        <v>138</v>
      </c>
      <c r="E22" s="5" t="s">
        <v>166</v>
      </c>
      <c r="F22" s="5" t="s">
        <v>140</v>
      </c>
      <c r="G22" s="5" t="s">
        <v>167</v>
      </c>
      <c r="H22" s="11" t="s">
        <v>99</v>
      </c>
      <c r="I22" s="11" t="s">
        <v>31</v>
      </c>
    </row>
    <row r="23" spans="1:9" ht="36" customHeight="1" x14ac:dyDescent="0.3">
      <c r="A23" s="14" t="s">
        <v>168</v>
      </c>
      <c r="B23" s="11" t="s">
        <v>51</v>
      </c>
      <c r="C23" s="17" t="s">
        <v>21</v>
      </c>
      <c r="D23" s="11" t="s">
        <v>134</v>
      </c>
      <c r="E23" s="5" t="s">
        <v>169</v>
      </c>
      <c r="F23" s="5" t="s">
        <v>170</v>
      </c>
      <c r="G23" s="5" t="s">
        <v>171</v>
      </c>
      <c r="H23" s="11" t="s">
        <v>99</v>
      </c>
      <c r="I23" s="11" t="s">
        <v>31</v>
      </c>
    </row>
    <row r="24" spans="1:9" ht="21" customHeight="1" x14ac:dyDescent="0.3">
      <c r="A24" s="14" t="s">
        <v>172</v>
      </c>
      <c r="B24" s="11" t="s">
        <v>41</v>
      </c>
      <c r="C24" s="19" t="s">
        <v>26</v>
      </c>
      <c r="D24" s="11" t="s">
        <v>125</v>
      </c>
      <c r="E24" s="5" t="s">
        <v>173</v>
      </c>
      <c r="F24" s="5" t="s">
        <v>127</v>
      </c>
      <c r="G24" s="5" t="s">
        <v>128</v>
      </c>
      <c r="H24" s="11" t="s">
        <v>99</v>
      </c>
      <c r="I24" s="11" t="s">
        <v>21</v>
      </c>
    </row>
    <row r="25" spans="1:9" ht="36" customHeight="1" x14ac:dyDescent="0.3">
      <c r="A25" s="14" t="s">
        <v>174</v>
      </c>
      <c r="B25" s="11" t="s">
        <v>41</v>
      </c>
      <c r="C25" s="19" t="s">
        <v>26</v>
      </c>
      <c r="D25" s="11" t="s">
        <v>134</v>
      </c>
      <c r="E25" s="5" t="s">
        <v>175</v>
      </c>
      <c r="F25" s="5" t="s">
        <v>176</v>
      </c>
      <c r="G25" s="5" t="s">
        <v>151</v>
      </c>
      <c r="H25" s="11" t="s">
        <v>99</v>
      </c>
      <c r="I25" s="11" t="s">
        <v>21</v>
      </c>
    </row>
    <row r="26" spans="1:9" ht="36" customHeight="1" x14ac:dyDescent="0.3">
      <c r="A26" s="14" t="s">
        <v>177</v>
      </c>
      <c r="B26" s="11" t="s">
        <v>46</v>
      </c>
      <c r="C26" s="19" t="s">
        <v>26</v>
      </c>
      <c r="D26" s="11" t="s">
        <v>130</v>
      </c>
      <c r="E26" s="5" t="s">
        <v>178</v>
      </c>
      <c r="F26" s="5" t="s">
        <v>179</v>
      </c>
      <c r="G26" s="5" t="s">
        <v>180</v>
      </c>
      <c r="H26" s="11" t="s">
        <v>99</v>
      </c>
      <c r="I26" s="11" t="s">
        <v>21</v>
      </c>
    </row>
    <row r="27" spans="1:9" ht="21" customHeight="1" x14ac:dyDescent="0.3">
      <c r="A27" s="14" t="s">
        <v>181</v>
      </c>
      <c r="B27" s="11" t="s">
        <v>46</v>
      </c>
      <c r="C27" s="19" t="s">
        <v>26</v>
      </c>
      <c r="D27" s="11" t="s">
        <v>134</v>
      </c>
      <c r="E27" s="5" t="s">
        <v>182</v>
      </c>
      <c r="F27" s="5" t="s">
        <v>183</v>
      </c>
      <c r="G27" s="5" t="s">
        <v>184</v>
      </c>
      <c r="H27" s="11" t="s">
        <v>99</v>
      </c>
      <c r="I27" s="11" t="s">
        <v>21</v>
      </c>
    </row>
    <row r="28" spans="1:9" ht="21" customHeight="1" x14ac:dyDescent="0.3">
      <c r="A28" s="14" t="s">
        <v>185</v>
      </c>
      <c r="B28" s="11" t="s">
        <v>46</v>
      </c>
      <c r="C28" s="19" t="s">
        <v>26</v>
      </c>
      <c r="D28" s="11" t="s">
        <v>138</v>
      </c>
      <c r="E28" s="5" t="s">
        <v>186</v>
      </c>
      <c r="F28" s="5" t="s">
        <v>140</v>
      </c>
      <c r="G28" s="5" t="s">
        <v>187</v>
      </c>
      <c r="H28" s="11" t="s">
        <v>99</v>
      </c>
      <c r="I28" s="11" t="s">
        <v>21</v>
      </c>
    </row>
    <row r="29" spans="1:9" ht="36" customHeight="1" x14ac:dyDescent="0.3">
      <c r="A29" s="14" t="s">
        <v>188</v>
      </c>
      <c r="B29" s="11" t="s">
        <v>51</v>
      </c>
      <c r="C29" s="19" t="s">
        <v>26</v>
      </c>
      <c r="D29" s="11" t="s">
        <v>130</v>
      </c>
      <c r="E29" s="5" t="s">
        <v>189</v>
      </c>
      <c r="F29" s="5" t="s">
        <v>165</v>
      </c>
      <c r="G29" s="5" t="s">
        <v>190</v>
      </c>
      <c r="H29" s="11" t="s">
        <v>99</v>
      </c>
      <c r="I29" s="11" t="s">
        <v>21</v>
      </c>
    </row>
    <row r="30" spans="1:9" ht="36" customHeight="1" x14ac:dyDescent="0.3">
      <c r="A30" s="14" t="s">
        <v>191</v>
      </c>
      <c r="B30" s="11" t="s">
        <v>51</v>
      </c>
      <c r="C30" s="19" t="s">
        <v>26</v>
      </c>
      <c r="D30" s="11" t="s">
        <v>134</v>
      </c>
      <c r="E30" s="5" t="s">
        <v>192</v>
      </c>
      <c r="F30" s="5" t="s">
        <v>188</v>
      </c>
      <c r="G30" s="5" t="s">
        <v>193</v>
      </c>
      <c r="H30" s="11" t="s">
        <v>99</v>
      </c>
      <c r="I30" s="11" t="s">
        <v>21</v>
      </c>
    </row>
    <row r="31" spans="1:9" ht="36" customHeight="1" x14ac:dyDescent="0.3">
      <c r="A31" s="14" t="s">
        <v>194</v>
      </c>
      <c r="B31" s="11" t="s">
        <v>56</v>
      </c>
      <c r="C31" s="16" t="s">
        <v>94</v>
      </c>
      <c r="D31" s="11" t="s">
        <v>195</v>
      </c>
      <c r="E31" s="5" t="s">
        <v>196</v>
      </c>
      <c r="F31" s="5" t="s">
        <v>197</v>
      </c>
      <c r="G31" s="5" t="s">
        <v>198</v>
      </c>
      <c r="H31" s="11" t="s">
        <v>99</v>
      </c>
      <c r="I31" s="11" t="s">
        <v>94</v>
      </c>
    </row>
    <row r="32" spans="1:9" ht="36" customHeight="1" x14ac:dyDescent="0.3">
      <c r="A32" s="14" t="s">
        <v>199</v>
      </c>
      <c r="B32" s="11" t="s">
        <v>56</v>
      </c>
      <c r="C32" s="16" t="s">
        <v>94</v>
      </c>
      <c r="D32" s="11" t="s">
        <v>200</v>
      </c>
      <c r="E32" s="5" t="s">
        <v>201</v>
      </c>
      <c r="F32" s="5" t="s">
        <v>202</v>
      </c>
      <c r="G32" s="5" t="s">
        <v>203</v>
      </c>
      <c r="H32" s="11" t="s">
        <v>99</v>
      </c>
      <c r="I32" s="11" t="s">
        <v>94</v>
      </c>
    </row>
    <row r="33" spans="1:9" ht="36" customHeight="1" x14ac:dyDescent="0.3">
      <c r="A33" s="14" t="s">
        <v>204</v>
      </c>
      <c r="B33" s="11" t="s">
        <v>56</v>
      </c>
      <c r="C33" s="17" t="s">
        <v>21</v>
      </c>
      <c r="D33" s="11" t="s">
        <v>205</v>
      </c>
      <c r="E33" s="5" t="s">
        <v>206</v>
      </c>
      <c r="F33" s="5" t="s">
        <v>207</v>
      </c>
      <c r="G33" s="5" t="s">
        <v>208</v>
      </c>
      <c r="H33" s="11" t="s">
        <v>99</v>
      </c>
      <c r="I33" s="11" t="s">
        <v>31</v>
      </c>
    </row>
    <row r="34" spans="1:9" ht="21" customHeight="1" x14ac:dyDescent="0.3">
      <c r="A34" s="14" t="s">
        <v>209</v>
      </c>
      <c r="B34" s="11" t="s">
        <v>56</v>
      </c>
      <c r="C34" s="18" t="s">
        <v>31</v>
      </c>
      <c r="D34" s="11" t="s">
        <v>205</v>
      </c>
      <c r="E34" s="5" t="s">
        <v>210</v>
      </c>
      <c r="F34" s="5" t="s">
        <v>207</v>
      </c>
      <c r="G34" s="5" t="s">
        <v>211</v>
      </c>
      <c r="H34" s="11" t="s">
        <v>99</v>
      </c>
      <c r="I34" s="11" t="s">
        <v>26</v>
      </c>
    </row>
    <row r="35" spans="1:9" ht="21" customHeight="1" x14ac:dyDescent="0.3">
      <c r="A35" s="14" t="s">
        <v>212</v>
      </c>
      <c r="B35" s="11" t="s">
        <v>56</v>
      </c>
      <c r="C35" s="19" t="s">
        <v>26</v>
      </c>
      <c r="D35" s="11" t="s">
        <v>205</v>
      </c>
      <c r="E35" s="5" t="s">
        <v>213</v>
      </c>
      <c r="F35" s="5" t="s">
        <v>207</v>
      </c>
      <c r="G35" s="5" t="s">
        <v>211</v>
      </c>
      <c r="H35" s="11" t="s">
        <v>99</v>
      </c>
      <c r="I35" s="11" t="s">
        <v>21</v>
      </c>
    </row>
  </sheetData>
  <autoFilter ref="A4:I35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8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16" customWidth="1"/>
    <col min="3" max="3" width="42" customWidth="1"/>
    <col min="4" max="4" width="11" customWidth="1"/>
    <col min="5" max="5" width="16" customWidth="1"/>
    <col min="6" max="6" width="26" customWidth="1"/>
    <col min="7" max="7" width="14" customWidth="1"/>
    <col min="8" max="8" width="70" customWidth="1"/>
  </cols>
  <sheetData>
    <row r="1" spans="1:8" ht="21" x14ac:dyDescent="0.4">
      <c r="A1" s="1" t="s">
        <v>214</v>
      </c>
    </row>
    <row r="2" spans="1:8" x14ac:dyDescent="0.3">
      <c r="A2" s="2" t="s">
        <v>215</v>
      </c>
    </row>
    <row r="4" spans="1:8" ht="31.95" customHeight="1" x14ac:dyDescent="0.3">
      <c r="A4" s="6" t="s">
        <v>216</v>
      </c>
      <c r="B4" s="6" t="s">
        <v>217</v>
      </c>
      <c r="C4" s="6" t="s">
        <v>218</v>
      </c>
      <c r="D4" s="6" t="s">
        <v>219</v>
      </c>
      <c r="E4" s="6" t="s">
        <v>220</v>
      </c>
      <c r="F4" s="6" t="s">
        <v>221</v>
      </c>
      <c r="G4" s="6" t="s">
        <v>222</v>
      </c>
      <c r="H4" s="6" t="s">
        <v>223</v>
      </c>
    </row>
    <row r="5" spans="1:8" ht="21" customHeight="1" x14ac:dyDescent="0.3">
      <c r="A5" s="11">
        <v>1</v>
      </c>
      <c r="B5" s="5" t="s">
        <v>224</v>
      </c>
      <c r="C5" s="4" t="s">
        <v>225</v>
      </c>
      <c r="D5" s="11" t="s">
        <v>226</v>
      </c>
      <c r="E5" s="11" t="s">
        <v>227</v>
      </c>
      <c r="F5" s="5" t="s">
        <v>228</v>
      </c>
      <c r="G5" s="19" t="s">
        <v>26</v>
      </c>
      <c r="H5" s="5" t="s">
        <v>229</v>
      </c>
    </row>
    <row r="6" spans="1:8" ht="21" customHeight="1" x14ac:dyDescent="0.3">
      <c r="A6" s="11">
        <v>2</v>
      </c>
      <c r="B6" s="5" t="s">
        <v>224</v>
      </c>
      <c r="C6" s="4" t="s">
        <v>230</v>
      </c>
      <c r="D6" s="11" t="s">
        <v>231</v>
      </c>
      <c r="E6" s="11" t="s">
        <v>232</v>
      </c>
      <c r="F6" s="5" t="s">
        <v>233</v>
      </c>
      <c r="G6" s="19" t="s">
        <v>26</v>
      </c>
      <c r="H6" s="5" t="s">
        <v>234</v>
      </c>
    </row>
    <row r="7" spans="1:8" ht="21" customHeight="1" x14ac:dyDescent="0.3">
      <c r="A7" s="11">
        <v>3</v>
      </c>
      <c r="B7" s="5" t="s">
        <v>224</v>
      </c>
      <c r="C7" s="4" t="s">
        <v>235</v>
      </c>
      <c r="D7" s="11" t="s">
        <v>226</v>
      </c>
      <c r="E7" s="11" t="s">
        <v>236</v>
      </c>
      <c r="F7" s="5" t="s">
        <v>237</v>
      </c>
      <c r="G7" s="17" t="s">
        <v>21</v>
      </c>
      <c r="H7" s="5" t="s">
        <v>238</v>
      </c>
    </row>
    <row r="8" spans="1:8" ht="21" customHeight="1" x14ac:dyDescent="0.3">
      <c r="A8" s="11">
        <v>4</v>
      </c>
      <c r="B8" s="5" t="s">
        <v>224</v>
      </c>
      <c r="C8" s="4" t="s">
        <v>239</v>
      </c>
      <c r="D8" s="11" t="s">
        <v>231</v>
      </c>
      <c r="E8" s="11" t="s">
        <v>236</v>
      </c>
      <c r="F8" s="5" t="s">
        <v>240</v>
      </c>
      <c r="G8" s="17" t="s">
        <v>21</v>
      </c>
      <c r="H8" s="5" t="s">
        <v>241</v>
      </c>
    </row>
    <row r="9" spans="1:8" ht="21" customHeight="1" x14ac:dyDescent="0.3">
      <c r="A9" s="11">
        <v>5</v>
      </c>
      <c r="B9" s="5" t="s">
        <v>224</v>
      </c>
      <c r="C9" s="4" t="s">
        <v>242</v>
      </c>
      <c r="D9" s="11" t="s">
        <v>226</v>
      </c>
      <c r="E9" s="11" t="s">
        <v>236</v>
      </c>
      <c r="F9" s="5" t="s">
        <v>237</v>
      </c>
      <c r="G9" s="17" t="s">
        <v>21</v>
      </c>
      <c r="H9" s="5" t="s">
        <v>243</v>
      </c>
    </row>
    <row r="10" spans="1:8" ht="21" customHeight="1" x14ac:dyDescent="0.3">
      <c r="A10" s="11">
        <v>6</v>
      </c>
      <c r="B10" s="5" t="s">
        <v>244</v>
      </c>
      <c r="C10" s="4" t="s">
        <v>245</v>
      </c>
      <c r="D10" s="11" t="s">
        <v>226</v>
      </c>
      <c r="E10" s="11" t="s">
        <v>246</v>
      </c>
      <c r="F10" s="5" t="s">
        <v>29</v>
      </c>
      <c r="G10" s="19" t="s">
        <v>26</v>
      </c>
      <c r="H10" s="5" t="s">
        <v>247</v>
      </c>
    </row>
    <row r="11" spans="1:8" ht="21" customHeight="1" x14ac:dyDescent="0.3">
      <c r="A11" s="11">
        <v>7</v>
      </c>
      <c r="B11" s="5" t="s">
        <v>244</v>
      </c>
      <c r="C11" s="4" t="s">
        <v>248</v>
      </c>
      <c r="D11" s="11" t="s">
        <v>231</v>
      </c>
      <c r="E11" s="11" t="s">
        <v>246</v>
      </c>
      <c r="F11" s="5" t="s">
        <v>29</v>
      </c>
      <c r="G11" s="19" t="s">
        <v>26</v>
      </c>
      <c r="H11" s="5" t="s">
        <v>249</v>
      </c>
    </row>
    <row r="12" spans="1:8" ht="21" customHeight="1" x14ac:dyDescent="0.3">
      <c r="A12" s="11">
        <v>8</v>
      </c>
      <c r="B12" s="5" t="s">
        <v>244</v>
      </c>
      <c r="C12" s="4" t="s">
        <v>250</v>
      </c>
      <c r="D12" s="11" t="s">
        <v>231</v>
      </c>
      <c r="E12" s="11" t="s">
        <v>246</v>
      </c>
      <c r="F12" s="5" t="s">
        <v>29</v>
      </c>
      <c r="G12" s="19" t="s">
        <v>26</v>
      </c>
      <c r="H12" s="5" t="s">
        <v>251</v>
      </c>
    </row>
    <row r="13" spans="1:8" ht="21" customHeight="1" x14ac:dyDescent="0.3">
      <c r="A13" s="11">
        <v>9</v>
      </c>
      <c r="B13" s="5" t="s">
        <v>244</v>
      </c>
      <c r="C13" s="4" t="s">
        <v>252</v>
      </c>
      <c r="D13" s="11" t="s">
        <v>231</v>
      </c>
      <c r="E13" s="11" t="s">
        <v>246</v>
      </c>
      <c r="F13" s="5" t="s">
        <v>29</v>
      </c>
      <c r="G13" s="19" t="s">
        <v>26</v>
      </c>
      <c r="H13" s="5" t="s">
        <v>253</v>
      </c>
    </row>
    <row r="14" spans="1:8" ht="21" customHeight="1" x14ac:dyDescent="0.3">
      <c r="A14" s="11">
        <v>10</v>
      </c>
      <c r="B14" s="5" t="s">
        <v>244</v>
      </c>
      <c r="C14" s="4" t="s">
        <v>254</v>
      </c>
      <c r="D14" s="11" t="s">
        <v>226</v>
      </c>
      <c r="E14" s="11" t="s">
        <v>255</v>
      </c>
      <c r="F14" s="5" t="s">
        <v>240</v>
      </c>
      <c r="G14" s="17" t="s">
        <v>21</v>
      </c>
      <c r="H14" s="5" t="s">
        <v>256</v>
      </c>
    </row>
    <row r="15" spans="1:8" ht="21" customHeight="1" x14ac:dyDescent="0.3">
      <c r="A15" s="11">
        <v>11</v>
      </c>
      <c r="B15" s="5" t="s">
        <v>257</v>
      </c>
      <c r="C15" s="4" t="s">
        <v>258</v>
      </c>
      <c r="D15" s="11" t="s">
        <v>231</v>
      </c>
      <c r="E15" s="11" t="s">
        <v>236</v>
      </c>
      <c r="F15" s="5" t="s">
        <v>237</v>
      </c>
      <c r="G15" s="17" t="s">
        <v>21</v>
      </c>
      <c r="H15" s="5" t="s">
        <v>259</v>
      </c>
    </row>
    <row r="16" spans="1:8" ht="21" customHeight="1" x14ac:dyDescent="0.3">
      <c r="A16" s="11">
        <v>12</v>
      </c>
      <c r="B16" s="5" t="s">
        <v>257</v>
      </c>
      <c r="C16" s="4" t="s">
        <v>260</v>
      </c>
      <c r="D16" s="11" t="s">
        <v>231</v>
      </c>
      <c r="E16" s="11" t="s">
        <v>236</v>
      </c>
      <c r="F16" s="5" t="s">
        <v>237</v>
      </c>
      <c r="G16" s="17" t="s">
        <v>21</v>
      </c>
      <c r="H16" s="5" t="s">
        <v>261</v>
      </c>
    </row>
    <row r="17" spans="1:8" ht="21" customHeight="1" x14ac:dyDescent="0.3">
      <c r="A17" s="11">
        <v>13</v>
      </c>
      <c r="B17" s="5" t="s">
        <v>257</v>
      </c>
      <c r="C17" s="4" t="s">
        <v>262</v>
      </c>
      <c r="D17" s="11" t="s">
        <v>231</v>
      </c>
      <c r="E17" s="11" t="s">
        <v>236</v>
      </c>
      <c r="F17" s="5" t="s">
        <v>237</v>
      </c>
      <c r="G17" s="17" t="s">
        <v>21</v>
      </c>
      <c r="H17" s="5" t="s">
        <v>263</v>
      </c>
    </row>
    <row r="18" spans="1:8" ht="21" customHeight="1" x14ac:dyDescent="0.3">
      <c r="A18" s="11">
        <v>14</v>
      </c>
      <c r="B18" s="5" t="s">
        <v>257</v>
      </c>
      <c r="C18" s="4" t="s">
        <v>264</v>
      </c>
      <c r="D18" s="11" t="s">
        <v>231</v>
      </c>
      <c r="E18" s="11" t="s">
        <v>236</v>
      </c>
      <c r="F18" s="5" t="s">
        <v>237</v>
      </c>
      <c r="G18" s="17" t="s">
        <v>21</v>
      </c>
      <c r="H18" s="5" t="s">
        <v>265</v>
      </c>
    </row>
    <row r="19" spans="1:8" ht="21" customHeight="1" x14ac:dyDescent="0.3">
      <c r="A19" s="11">
        <v>15</v>
      </c>
      <c r="B19" s="5" t="s">
        <v>257</v>
      </c>
      <c r="C19" s="4" t="s">
        <v>266</v>
      </c>
      <c r="D19" s="11" t="s">
        <v>231</v>
      </c>
      <c r="E19" s="11" t="s">
        <v>267</v>
      </c>
      <c r="F19" s="5" t="s">
        <v>268</v>
      </c>
      <c r="G19" s="17" t="s">
        <v>21</v>
      </c>
      <c r="H19" s="5" t="s">
        <v>269</v>
      </c>
    </row>
    <row r="20" spans="1:8" ht="21" customHeight="1" x14ac:dyDescent="0.3">
      <c r="A20" s="11">
        <v>16</v>
      </c>
      <c r="B20" s="5" t="s">
        <v>270</v>
      </c>
      <c r="C20" s="4" t="s">
        <v>271</v>
      </c>
      <c r="D20" s="11" t="s">
        <v>226</v>
      </c>
      <c r="E20" s="11" t="s">
        <v>272</v>
      </c>
      <c r="F20" s="5" t="s">
        <v>29</v>
      </c>
      <c r="G20" s="19" t="s">
        <v>26</v>
      </c>
      <c r="H20" s="5" t="s">
        <v>273</v>
      </c>
    </row>
    <row r="21" spans="1:8" ht="21" customHeight="1" x14ac:dyDescent="0.3">
      <c r="A21" s="11">
        <v>17</v>
      </c>
      <c r="B21" s="5" t="s">
        <v>270</v>
      </c>
      <c r="C21" s="4" t="s">
        <v>274</v>
      </c>
      <c r="D21" s="11" t="s">
        <v>275</v>
      </c>
      <c r="E21" s="11" t="s">
        <v>272</v>
      </c>
      <c r="F21" s="5" t="s">
        <v>29</v>
      </c>
      <c r="G21" s="19" t="s">
        <v>26</v>
      </c>
      <c r="H21" s="5" t="s">
        <v>276</v>
      </c>
    </row>
    <row r="22" spans="1:8" ht="21" customHeight="1" x14ac:dyDescent="0.3">
      <c r="A22" s="11">
        <v>18</v>
      </c>
      <c r="B22" s="5" t="s">
        <v>270</v>
      </c>
      <c r="C22" s="4" t="s">
        <v>277</v>
      </c>
      <c r="D22" s="11" t="s">
        <v>278</v>
      </c>
      <c r="E22" s="11" t="s">
        <v>272</v>
      </c>
      <c r="F22" s="5" t="s">
        <v>29</v>
      </c>
      <c r="G22" s="19" t="s">
        <v>26</v>
      </c>
      <c r="H22" s="5" t="s">
        <v>279</v>
      </c>
    </row>
    <row r="23" spans="1:8" ht="21" customHeight="1" x14ac:dyDescent="0.3">
      <c r="A23" s="11">
        <v>19</v>
      </c>
      <c r="B23" s="5" t="s">
        <v>130</v>
      </c>
      <c r="C23" s="4" t="s">
        <v>280</v>
      </c>
      <c r="D23" s="11" t="s">
        <v>226</v>
      </c>
      <c r="E23" s="11" t="s">
        <v>281</v>
      </c>
      <c r="F23" s="5" t="s">
        <v>282</v>
      </c>
      <c r="G23" s="18" t="s">
        <v>31</v>
      </c>
      <c r="H23" s="5" t="s">
        <v>283</v>
      </c>
    </row>
    <row r="24" spans="1:8" ht="21" customHeight="1" x14ac:dyDescent="0.3">
      <c r="A24" s="11">
        <v>20</v>
      </c>
      <c r="B24" s="5" t="s">
        <v>130</v>
      </c>
      <c r="C24" s="4" t="s">
        <v>284</v>
      </c>
      <c r="D24" s="11" t="s">
        <v>231</v>
      </c>
      <c r="E24" s="11" t="s">
        <v>285</v>
      </c>
      <c r="F24" s="5" t="s">
        <v>286</v>
      </c>
      <c r="G24" s="18" t="s">
        <v>31</v>
      </c>
      <c r="H24" s="5" t="s">
        <v>287</v>
      </c>
    </row>
    <row r="25" spans="1:8" ht="21" customHeight="1" x14ac:dyDescent="0.3">
      <c r="A25" s="11">
        <v>21</v>
      </c>
      <c r="B25" s="5" t="s">
        <v>288</v>
      </c>
      <c r="C25" s="4" t="s">
        <v>289</v>
      </c>
      <c r="D25" s="11" t="s">
        <v>231</v>
      </c>
      <c r="E25" s="11" t="s">
        <v>290</v>
      </c>
      <c r="F25" s="5" t="s">
        <v>286</v>
      </c>
      <c r="G25" s="18" t="s">
        <v>31</v>
      </c>
      <c r="H25" s="5" t="s">
        <v>291</v>
      </c>
    </row>
    <row r="26" spans="1:8" ht="21" customHeight="1" x14ac:dyDescent="0.3">
      <c r="A26" s="11">
        <v>22</v>
      </c>
      <c r="B26" s="5" t="s">
        <v>288</v>
      </c>
      <c r="C26" s="4" t="s">
        <v>292</v>
      </c>
      <c r="D26" s="11" t="s">
        <v>231</v>
      </c>
      <c r="E26" s="11" t="s">
        <v>290</v>
      </c>
      <c r="F26" s="5" t="s">
        <v>286</v>
      </c>
      <c r="G26" s="18" t="s">
        <v>31</v>
      </c>
      <c r="H26" s="5" t="s">
        <v>293</v>
      </c>
    </row>
    <row r="27" spans="1:8" ht="36" customHeight="1" x14ac:dyDescent="0.3">
      <c r="A27" s="11">
        <v>23</v>
      </c>
      <c r="B27" s="5" t="s">
        <v>294</v>
      </c>
      <c r="C27" s="4" t="s">
        <v>295</v>
      </c>
      <c r="D27" s="11" t="s">
        <v>296</v>
      </c>
      <c r="E27" s="11" t="s">
        <v>297</v>
      </c>
      <c r="F27" s="5" t="s">
        <v>298</v>
      </c>
      <c r="G27" s="18" t="s">
        <v>31</v>
      </c>
      <c r="H27" s="5" t="s">
        <v>299</v>
      </c>
    </row>
    <row r="28" spans="1:8" ht="21" customHeight="1" x14ac:dyDescent="0.3">
      <c r="A28" s="11">
        <v>24</v>
      </c>
      <c r="B28" s="5" t="s">
        <v>294</v>
      </c>
      <c r="C28" s="4" t="s">
        <v>300</v>
      </c>
      <c r="D28" s="11" t="s">
        <v>231</v>
      </c>
      <c r="E28" s="11" t="s">
        <v>297</v>
      </c>
      <c r="F28" s="5" t="s">
        <v>286</v>
      </c>
      <c r="G28" s="18" t="s">
        <v>31</v>
      </c>
      <c r="H28" s="5" t="s">
        <v>301</v>
      </c>
    </row>
  </sheetData>
  <autoFilter ref="A4:H28" xr:uid="{00000000-0009-0000-0000-000002000000}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70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4" customWidth="1"/>
    <col min="3" max="3" width="34" customWidth="1"/>
    <col min="4" max="4" width="12" customWidth="1"/>
    <col min="5" max="5" width="100" customWidth="1"/>
    <col min="6" max="6" width="18" customWidth="1"/>
  </cols>
  <sheetData>
    <row r="1" spans="1:6" ht="21" x14ac:dyDescent="0.4">
      <c r="A1" s="1" t="s">
        <v>302</v>
      </c>
    </row>
    <row r="2" spans="1:6" x14ac:dyDescent="0.3">
      <c r="A2" s="2" t="s">
        <v>303</v>
      </c>
    </row>
    <row r="4" spans="1:6" ht="31.95" customHeight="1" x14ac:dyDescent="0.3">
      <c r="A4" s="6" t="s">
        <v>304</v>
      </c>
      <c r="B4" s="6" t="s">
        <v>305</v>
      </c>
      <c r="C4" s="6" t="s">
        <v>218</v>
      </c>
      <c r="D4" s="6" t="s">
        <v>86</v>
      </c>
      <c r="E4" s="6" t="s">
        <v>306</v>
      </c>
      <c r="F4" s="6" t="s">
        <v>307</v>
      </c>
    </row>
    <row r="5" spans="1:6" ht="36" customHeight="1" x14ac:dyDescent="0.3">
      <c r="A5" s="14" t="s">
        <v>308</v>
      </c>
      <c r="B5" s="11" t="s">
        <v>224</v>
      </c>
      <c r="C5" s="5" t="s">
        <v>225</v>
      </c>
      <c r="D5" s="19" t="s">
        <v>26</v>
      </c>
      <c r="E5" s="5" t="s">
        <v>309</v>
      </c>
      <c r="F5" s="11" t="s">
        <v>310</v>
      </c>
    </row>
    <row r="6" spans="1:6" ht="36" customHeight="1" x14ac:dyDescent="0.3">
      <c r="A6" s="14" t="s">
        <v>311</v>
      </c>
      <c r="B6" s="11" t="s">
        <v>224</v>
      </c>
      <c r="C6" s="5" t="s">
        <v>230</v>
      </c>
      <c r="D6" s="19" t="s">
        <v>26</v>
      </c>
      <c r="E6" s="5" t="s">
        <v>312</v>
      </c>
      <c r="F6" s="11" t="s">
        <v>313</v>
      </c>
    </row>
    <row r="7" spans="1:6" ht="21" customHeight="1" x14ac:dyDescent="0.3">
      <c r="A7" s="14" t="s">
        <v>314</v>
      </c>
      <c r="B7" s="11" t="s">
        <v>224</v>
      </c>
      <c r="C7" s="5" t="s">
        <v>230</v>
      </c>
      <c r="D7" s="19" t="s">
        <v>26</v>
      </c>
      <c r="E7" s="5" t="s">
        <v>315</v>
      </c>
      <c r="F7" s="11" t="s">
        <v>310</v>
      </c>
    </row>
    <row r="8" spans="1:6" ht="36" customHeight="1" x14ac:dyDescent="0.3">
      <c r="A8" s="14" t="s">
        <v>316</v>
      </c>
      <c r="B8" s="11" t="s">
        <v>224</v>
      </c>
      <c r="C8" s="5" t="s">
        <v>230</v>
      </c>
      <c r="D8" s="19" t="s">
        <v>26</v>
      </c>
      <c r="E8" s="5" t="s">
        <v>317</v>
      </c>
      <c r="F8" s="11" t="s">
        <v>310</v>
      </c>
    </row>
    <row r="9" spans="1:6" ht="36" customHeight="1" x14ac:dyDescent="0.3">
      <c r="A9" s="14" t="s">
        <v>318</v>
      </c>
      <c r="B9" s="11" t="s">
        <v>224</v>
      </c>
      <c r="C9" s="5" t="s">
        <v>230</v>
      </c>
      <c r="D9" s="19" t="s">
        <v>26</v>
      </c>
      <c r="E9" s="5" t="s">
        <v>319</v>
      </c>
      <c r="F9" s="11" t="s">
        <v>310</v>
      </c>
    </row>
    <row r="10" spans="1:6" ht="36" customHeight="1" x14ac:dyDescent="0.3">
      <c r="A10" s="14" t="s">
        <v>320</v>
      </c>
      <c r="B10" s="11" t="s">
        <v>224</v>
      </c>
      <c r="C10" s="5" t="s">
        <v>235</v>
      </c>
      <c r="D10" s="17" t="s">
        <v>21</v>
      </c>
      <c r="E10" s="5" t="s">
        <v>321</v>
      </c>
      <c r="F10" s="11" t="s">
        <v>322</v>
      </c>
    </row>
    <row r="11" spans="1:6" ht="21" customHeight="1" x14ac:dyDescent="0.3">
      <c r="A11" s="14" t="s">
        <v>323</v>
      </c>
      <c r="B11" s="11" t="s">
        <v>224</v>
      </c>
      <c r="C11" s="5" t="s">
        <v>235</v>
      </c>
      <c r="D11" s="17" t="s">
        <v>21</v>
      </c>
      <c r="E11" s="5" t="s">
        <v>324</v>
      </c>
      <c r="F11" s="11" t="s">
        <v>310</v>
      </c>
    </row>
    <row r="12" spans="1:6" ht="21" customHeight="1" x14ac:dyDescent="0.3">
      <c r="A12" s="14" t="s">
        <v>325</v>
      </c>
      <c r="B12" s="11" t="s">
        <v>224</v>
      </c>
      <c r="C12" s="5" t="s">
        <v>239</v>
      </c>
      <c r="D12" s="17" t="s">
        <v>21</v>
      </c>
      <c r="E12" s="5" t="s">
        <v>326</v>
      </c>
      <c r="F12" s="11" t="s">
        <v>310</v>
      </c>
    </row>
    <row r="13" spans="1:6" ht="36" customHeight="1" x14ac:dyDescent="0.3">
      <c r="A13" s="14" t="s">
        <v>327</v>
      </c>
      <c r="B13" s="11" t="s">
        <v>224</v>
      </c>
      <c r="C13" s="5" t="s">
        <v>239</v>
      </c>
      <c r="D13" s="17" t="s">
        <v>21</v>
      </c>
      <c r="E13" s="5" t="s">
        <v>328</v>
      </c>
      <c r="F13" s="11" t="s">
        <v>310</v>
      </c>
    </row>
    <row r="14" spans="1:6" ht="21" customHeight="1" x14ac:dyDescent="0.3">
      <c r="A14" s="14" t="s">
        <v>329</v>
      </c>
      <c r="B14" s="11" t="s">
        <v>224</v>
      </c>
      <c r="C14" s="5" t="s">
        <v>242</v>
      </c>
      <c r="D14" s="17" t="s">
        <v>21</v>
      </c>
      <c r="E14" s="5" t="s">
        <v>330</v>
      </c>
      <c r="F14" s="11" t="s">
        <v>310</v>
      </c>
    </row>
    <row r="15" spans="1:6" ht="36" customHeight="1" x14ac:dyDescent="0.3">
      <c r="A15" s="14" t="s">
        <v>331</v>
      </c>
      <c r="B15" s="11" t="s">
        <v>224</v>
      </c>
      <c r="C15" s="5" t="s">
        <v>242</v>
      </c>
      <c r="D15" s="17" t="s">
        <v>21</v>
      </c>
      <c r="E15" s="5" t="s">
        <v>332</v>
      </c>
      <c r="F15" s="11" t="s">
        <v>310</v>
      </c>
    </row>
    <row r="16" spans="1:6" ht="36" customHeight="1" x14ac:dyDescent="0.3">
      <c r="A16" s="14" t="s">
        <v>333</v>
      </c>
      <c r="B16" s="11" t="s">
        <v>244</v>
      </c>
      <c r="C16" s="5" t="s">
        <v>245</v>
      </c>
      <c r="D16" s="19" t="s">
        <v>26</v>
      </c>
      <c r="E16" s="5" t="s">
        <v>334</v>
      </c>
      <c r="F16" s="11" t="s">
        <v>310</v>
      </c>
    </row>
    <row r="17" spans="1:6" ht="36" customHeight="1" x14ac:dyDescent="0.3">
      <c r="A17" s="14" t="s">
        <v>335</v>
      </c>
      <c r="B17" s="11" t="s">
        <v>244</v>
      </c>
      <c r="C17" s="5" t="s">
        <v>248</v>
      </c>
      <c r="D17" s="19" t="s">
        <v>26</v>
      </c>
      <c r="E17" s="5" t="s">
        <v>336</v>
      </c>
      <c r="F17" s="11" t="s">
        <v>310</v>
      </c>
    </row>
    <row r="18" spans="1:6" ht="36" customHeight="1" x14ac:dyDescent="0.3">
      <c r="A18" s="14" t="s">
        <v>337</v>
      </c>
      <c r="B18" s="11" t="s">
        <v>244</v>
      </c>
      <c r="C18" s="5" t="s">
        <v>248</v>
      </c>
      <c r="D18" s="19" t="s">
        <v>26</v>
      </c>
      <c r="E18" s="5" t="s">
        <v>338</v>
      </c>
      <c r="F18" s="11" t="s">
        <v>310</v>
      </c>
    </row>
    <row r="19" spans="1:6" ht="21" customHeight="1" x14ac:dyDescent="0.3">
      <c r="A19" s="14" t="s">
        <v>339</v>
      </c>
      <c r="B19" s="11" t="s">
        <v>244</v>
      </c>
      <c r="C19" s="5" t="s">
        <v>248</v>
      </c>
      <c r="D19" s="19" t="s">
        <v>26</v>
      </c>
      <c r="E19" s="5" t="s">
        <v>340</v>
      </c>
      <c r="F19" s="11" t="s">
        <v>310</v>
      </c>
    </row>
    <row r="20" spans="1:6" ht="36" customHeight="1" x14ac:dyDescent="0.3">
      <c r="A20" s="14" t="s">
        <v>341</v>
      </c>
      <c r="B20" s="11" t="s">
        <v>244</v>
      </c>
      <c r="C20" s="5" t="s">
        <v>250</v>
      </c>
      <c r="D20" s="19" t="s">
        <v>26</v>
      </c>
      <c r="E20" s="5" t="s">
        <v>342</v>
      </c>
      <c r="F20" s="11" t="s">
        <v>310</v>
      </c>
    </row>
    <row r="21" spans="1:6" ht="36" customHeight="1" x14ac:dyDescent="0.3">
      <c r="A21" s="14" t="s">
        <v>343</v>
      </c>
      <c r="B21" s="11" t="s">
        <v>244</v>
      </c>
      <c r="C21" s="5" t="s">
        <v>250</v>
      </c>
      <c r="D21" s="19" t="s">
        <v>26</v>
      </c>
      <c r="E21" s="5" t="s">
        <v>344</v>
      </c>
      <c r="F21" s="11" t="s">
        <v>310</v>
      </c>
    </row>
    <row r="22" spans="1:6" ht="36" customHeight="1" x14ac:dyDescent="0.3">
      <c r="A22" s="14" t="s">
        <v>345</v>
      </c>
      <c r="B22" s="11" t="s">
        <v>244</v>
      </c>
      <c r="C22" s="5" t="s">
        <v>252</v>
      </c>
      <c r="D22" s="19" t="s">
        <v>26</v>
      </c>
      <c r="E22" s="5" t="s">
        <v>346</v>
      </c>
      <c r="F22" s="11" t="s">
        <v>310</v>
      </c>
    </row>
    <row r="23" spans="1:6" ht="36" customHeight="1" x14ac:dyDescent="0.3">
      <c r="A23" s="14" t="s">
        <v>347</v>
      </c>
      <c r="B23" s="11" t="s">
        <v>244</v>
      </c>
      <c r="C23" s="5" t="s">
        <v>254</v>
      </c>
      <c r="D23" s="17" t="s">
        <v>21</v>
      </c>
      <c r="E23" s="5" t="s">
        <v>348</v>
      </c>
      <c r="F23" s="11" t="s">
        <v>310</v>
      </c>
    </row>
    <row r="24" spans="1:6" ht="21" customHeight="1" x14ac:dyDescent="0.3">
      <c r="A24" s="14" t="s">
        <v>349</v>
      </c>
      <c r="B24" s="11" t="s">
        <v>257</v>
      </c>
      <c r="C24" s="5" t="s">
        <v>258</v>
      </c>
      <c r="D24" s="17" t="s">
        <v>21</v>
      </c>
      <c r="E24" s="5" t="s">
        <v>350</v>
      </c>
      <c r="F24" s="11" t="s">
        <v>310</v>
      </c>
    </row>
    <row r="25" spans="1:6" ht="36" customHeight="1" x14ac:dyDescent="0.3">
      <c r="A25" s="14" t="s">
        <v>351</v>
      </c>
      <c r="B25" s="11" t="s">
        <v>257</v>
      </c>
      <c r="C25" s="5" t="s">
        <v>258</v>
      </c>
      <c r="D25" s="17" t="s">
        <v>21</v>
      </c>
      <c r="E25" s="5" t="s">
        <v>352</v>
      </c>
      <c r="F25" s="11" t="s">
        <v>310</v>
      </c>
    </row>
    <row r="26" spans="1:6" ht="21" customHeight="1" x14ac:dyDescent="0.3">
      <c r="A26" s="14" t="s">
        <v>353</v>
      </c>
      <c r="B26" s="11" t="s">
        <v>257</v>
      </c>
      <c r="C26" s="5" t="s">
        <v>258</v>
      </c>
      <c r="D26" s="17" t="s">
        <v>21</v>
      </c>
      <c r="E26" s="5" t="s">
        <v>354</v>
      </c>
      <c r="F26" s="11" t="s">
        <v>310</v>
      </c>
    </row>
    <row r="27" spans="1:6" ht="36" customHeight="1" x14ac:dyDescent="0.3">
      <c r="A27" s="14" t="s">
        <v>355</v>
      </c>
      <c r="B27" s="11" t="s">
        <v>257</v>
      </c>
      <c r="C27" s="5" t="s">
        <v>258</v>
      </c>
      <c r="D27" s="17" t="s">
        <v>21</v>
      </c>
      <c r="E27" s="5" t="s">
        <v>356</v>
      </c>
      <c r="F27" s="11" t="s">
        <v>310</v>
      </c>
    </row>
    <row r="28" spans="1:6" ht="36" customHeight="1" x14ac:dyDescent="0.3">
      <c r="A28" s="14" t="s">
        <v>357</v>
      </c>
      <c r="B28" s="11" t="s">
        <v>257</v>
      </c>
      <c r="C28" s="5" t="s">
        <v>258</v>
      </c>
      <c r="D28" s="17" t="s">
        <v>21</v>
      </c>
      <c r="E28" s="5" t="s">
        <v>358</v>
      </c>
      <c r="F28" s="11" t="s">
        <v>310</v>
      </c>
    </row>
    <row r="29" spans="1:6" ht="36" customHeight="1" x14ac:dyDescent="0.3">
      <c r="A29" s="14" t="s">
        <v>359</v>
      </c>
      <c r="B29" s="11" t="s">
        <v>257</v>
      </c>
      <c r="C29" s="5" t="s">
        <v>262</v>
      </c>
      <c r="D29" s="17" t="s">
        <v>21</v>
      </c>
      <c r="E29" s="5" t="s">
        <v>360</v>
      </c>
      <c r="F29" s="11" t="s">
        <v>310</v>
      </c>
    </row>
    <row r="30" spans="1:6" ht="36" customHeight="1" x14ac:dyDescent="0.3">
      <c r="A30" s="14" t="s">
        <v>361</v>
      </c>
      <c r="B30" s="11" t="s">
        <v>257</v>
      </c>
      <c r="C30" s="5" t="s">
        <v>260</v>
      </c>
      <c r="D30" s="17" t="s">
        <v>21</v>
      </c>
      <c r="E30" s="5" t="s">
        <v>362</v>
      </c>
      <c r="F30" s="11" t="s">
        <v>313</v>
      </c>
    </row>
    <row r="31" spans="1:6" ht="36" customHeight="1" x14ac:dyDescent="0.3">
      <c r="A31" s="14" t="s">
        <v>363</v>
      </c>
      <c r="B31" s="11" t="s">
        <v>257</v>
      </c>
      <c r="C31" s="5" t="s">
        <v>260</v>
      </c>
      <c r="D31" s="17" t="s">
        <v>21</v>
      </c>
      <c r="E31" s="5" t="s">
        <v>364</v>
      </c>
      <c r="F31" s="11" t="s">
        <v>310</v>
      </c>
    </row>
    <row r="32" spans="1:6" ht="21" customHeight="1" x14ac:dyDescent="0.3">
      <c r="A32" s="14" t="s">
        <v>365</v>
      </c>
      <c r="B32" s="11" t="s">
        <v>257</v>
      </c>
      <c r="C32" s="5" t="s">
        <v>260</v>
      </c>
      <c r="D32" s="17" t="s">
        <v>21</v>
      </c>
      <c r="E32" s="5" t="s">
        <v>366</v>
      </c>
      <c r="F32" s="11" t="s">
        <v>310</v>
      </c>
    </row>
    <row r="33" spans="1:6" ht="21" customHeight="1" x14ac:dyDescent="0.3">
      <c r="A33" s="14" t="s">
        <v>367</v>
      </c>
      <c r="B33" s="11" t="s">
        <v>257</v>
      </c>
      <c r="C33" s="5" t="s">
        <v>264</v>
      </c>
      <c r="D33" s="17" t="s">
        <v>21</v>
      </c>
      <c r="E33" s="5" t="s">
        <v>368</v>
      </c>
      <c r="F33" s="11" t="s">
        <v>310</v>
      </c>
    </row>
    <row r="34" spans="1:6" ht="36" customHeight="1" x14ac:dyDescent="0.3">
      <c r="A34" s="14" t="s">
        <v>369</v>
      </c>
      <c r="B34" s="11" t="s">
        <v>257</v>
      </c>
      <c r="C34" s="5" t="s">
        <v>264</v>
      </c>
      <c r="D34" s="17" t="s">
        <v>21</v>
      </c>
      <c r="E34" s="5" t="s">
        <v>370</v>
      </c>
      <c r="F34" s="11" t="s">
        <v>310</v>
      </c>
    </row>
    <row r="35" spans="1:6" ht="36" customHeight="1" x14ac:dyDescent="0.3">
      <c r="A35" s="14" t="s">
        <v>371</v>
      </c>
      <c r="B35" s="11" t="s">
        <v>257</v>
      </c>
      <c r="C35" s="5" t="s">
        <v>266</v>
      </c>
      <c r="D35" s="17" t="s">
        <v>21</v>
      </c>
      <c r="E35" s="5" t="s">
        <v>372</v>
      </c>
      <c r="F35" s="11" t="s">
        <v>310</v>
      </c>
    </row>
    <row r="36" spans="1:6" ht="21" customHeight="1" x14ac:dyDescent="0.3">
      <c r="A36" s="14" t="s">
        <v>373</v>
      </c>
      <c r="B36" s="11" t="s">
        <v>257</v>
      </c>
      <c r="C36" s="5" t="s">
        <v>266</v>
      </c>
      <c r="D36" s="17" t="s">
        <v>21</v>
      </c>
      <c r="E36" s="5" t="s">
        <v>374</v>
      </c>
      <c r="F36" s="11" t="s">
        <v>310</v>
      </c>
    </row>
    <row r="37" spans="1:6" ht="21" customHeight="1" x14ac:dyDescent="0.3">
      <c r="A37" s="14" t="s">
        <v>375</v>
      </c>
      <c r="B37" s="11" t="s">
        <v>270</v>
      </c>
      <c r="C37" s="5" t="s">
        <v>271</v>
      </c>
      <c r="D37" s="19" t="s">
        <v>26</v>
      </c>
      <c r="E37" s="5" t="s">
        <v>376</v>
      </c>
      <c r="F37" s="11" t="s">
        <v>310</v>
      </c>
    </row>
    <row r="38" spans="1:6" ht="36" customHeight="1" x14ac:dyDescent="0.3">
      <c r="A38" s="14" t="s">
        <v>377</v>
      </c>
      <c r="B38" s="11" t="s">
        <v>270</v>
      </c>
      <c r="C38" s="5" t="s">
        <v>274</v>
      </c>
      <c r="D38" s="19" t="s">
        <v>26</v>
      </c>
      <c r="E38" s="5" t="s">
        <v>378</v>
      </c>
      <c r="F38" s="11" t="s">
        <v>310</v>
      </c>
    </row>
    <row r="39" spans="1:6" ht="36" customHeight="1" x14ac:dyDescent="0.3">
      <c r="A39" s="14" t="s">
        <v>379</v>
      </c>
      <c r="B39" s="11" t="s">
        <v>270</v>
      </c>
      <c r="C39" s="5" t="s">
        <v>274</v>
      </c>
      <c r="D39" s="19" t="s">
        <v>26</v>
      </c>
      <c r="E39" s="5" t="s">
        <v>380</v>
      </c>
      <c r="F39" s="11" t="s">
        <v>310</v>
      </c>
    </row>
    <row r="40" spans="1:6" ht="36" customHeight="1" x14ac:dyDescent="0.3">
      <c r="A40" s="14" t="s">
        <v>381</v>
      </c>
      <c r="B40" s="11" t="s">
        <v>270</v>
      </c>
      <c r="C40" s="5" t="s">
        <v>274</v>
      </c>
      <c r="D40" s="19" t="s">
        <v>26</v>
      </c>
      <c r="E40" s="5" t="s">
        <v>382</v>
      </c>
      <c r="F40" s="11" t="s">
        <v>310</v>
      </c>
    </row>
    <row r="41" spans="1:6" ht="36" customHeight="1" x14ac:dyDescent="0.3">
      <c r="A41" s="14" t="s">
        <v>383</v>
      </c>
      <c r="B41" s="11" t="s">
        <v>270</v>
      </c>
      <c r="C41" s="5" t="s">
        <v>277</v>
      </c>
      <c r="D41" s="19" t="s">
        <v>26</v>
      </c>
      <c r="E41" s="5" t="s">
        <v>384</v>
      </c>
      <c r="F41" s="11" t="s">
        <v>310</v>
      </c>
    </row>
    <row r="42" spans="1:6" ht="21" customHeight="1" x14ac:dyDescent="0.3">
      <c r="A42" s="14" t="s">
        <v>385</v>
      </c>
      <c r="B42" s="11" t="s">
        <v>270</v>
      </c>
      <c r="C42" s="5" t="s">
        <v>277</v>
      </c>
      <c r="D42" s="19" t="s">
        <v>26</v>
      </c>
      <c r="E42" s="5" t="s">
        <v>386</v>
      </c>
      <c r="F42" s="11" t="s">
        <v>387</v>
      </c>
    </row>
    <row r="43" spans="1:6" ht="36" customHeight="1" x14ac:dyDescent="0.3">
      <c r="A43" s="14" t="s">
        <v>388</v>
      </c>
      <c r="B43" s="11" t="s">
        <v>130</v>
      </c>
      <c r="C43" s="5" t="s">
        <v>280</v>
      </c>
      <c r="D43" s="18" t="s">
        <v>31</v>
      </c>
      <c r="E43" s="5" t="s">
        <v>389</v>
      </c>
      <c r="F43" s="11" t="s">
        <v>310</v>
      </c>
    </row>
    <row r="44" spans="1:6" ht="21" customHeight="1" x14ac:dyDescent="0.3">
      <c r="A44" s="14" t="s">
        <v>390</v>
      </c>
      <c r="B44" s="11" t="s">
        <v>130</v>
      </c>
      <c r="C44" s="5" t="s">
        <v>284</v>
      </c>
      <c r="D44" s="18" t="s">
        <v>31</v>
      </c>
      <c r="E44" s="5" t="s">
        <v>391</v>
      </c>
      <c r="F44" s="11" t="s">
        <v>313</v>
      </c>
    </row>
    <row r="45" spans="1:6" ht="21" customHeight="1" x14ac:dyDescent="0.3">
      <c r="A45" s="14" t="s">
        <v>392</v>
      </c>
      <c r="B45" s="11" t="s">
        <v>130</v>
      </c>
      <c r="C45" s="5" t="s">
        <v>284</v>
      </c>
      <c r="D45" s="18" t="s">
        <v>31</v>
      </c>
      <c r="E45" s="5" t="s">
        <v>393</v>
      </c>
      <c r="F45" s="11" t="s">
        <v>310</v>
      </c>
    </row>
    <row r="46" spans="1:6" ht="36" customHeight="1" x14ac:dyDescent="0.3">
      <c r="A46" s="14" t="s">
        <v>394</v>
      </c>
      <c r="B46" s="11" t="s">
        <v>288</v>
      </c>
      <c r="C46" s="5" t="s">
        <v>289</v>
      </c>
      <c r="D46" s="18" t="s">
        <v>31</v>
      </c>
      <c r="E46" s="5" t="s">
        <v>395</v>
      </c>
      <c r="F46" s="11" t="s">
        <v>310</v>
      </c>
    </row>
    <row r="47" spans="1:6" ht="21" customHeight="1" x14ac:dyDescent="0.3">
      <c r="A47" s="14" t="s">
        <v>396</v>
      </c>
      <c r="B47" s="11" t="s">
        <v>288</v>
      </c>
      <c r="C47" s="5" t="s">
        <v>289</v>
      </c>
      <c r="D47" s="18" t="s">
        <v>31</v>
      </c>
      <c r="E47" s="5" t="s">
        <v>397</v>
      </c>
      <c r="F47" s="11" t="s">
        <v>310</v>
      </c>
    </row>
    <row r="48" spans="1:6" ht="36" customHeight="1" x14ac:dyDescent="0.3">
      <c r="A48" s="14" t="s">
        <v>398</v>
      </c>
      <c r="B48" s="11" t="s">
        <v>288</v>
      </c>
      <c r="C48" s="5" t="s">
        <v>289</v>
      </c>
      <c r="D48" s="18" t="s">
        <v>31</v>
      </c>
      <c r="E48" s="5" t="s">
        <v>399</v>
      </c>
      <c r="F48" s="11" t="s">
        <v>310</v>
      </c>
    </row>
    <row r="49" spans="1:6" ht="36" customHeight="1" x14ac:dyDescent="0.3">
      <c r="A49" s="14" t="s">
        <v>400</v>
      </c>
      <c r="B49" s="11" t="s">
        <v>288</v>
      </c>
      <c r="C49" s="5" t="s">
        <v>292</v>
      </c>
      <c r="D49" s="18" t="s">
        <v>31</v>
      </c>
      <c r="E49" s="5" t="s">
        <v>401</v>
      </c>
      <c r="F49" s="11" t="s">
        <v>313</v>
      </c>
    </row>
    <row r="50" spans="1:6" ht="21" customHeight="1" x14ac:dyDescent="0.3">
      <c r="A50" s="14" t="s">
        <v>402</v>
      </c>
      <c r="B50" s="11" t="s">
        <v>288</v>
      </c>
      <c r="C50" s="5" t="s">
        <v>292</v>
      </c>
      <c r="D50" s="18" t="s">
        <v>31</v>
      </c>
      <c r="E50" s="5" t="s">
        <v>403</v>
      </c>
      <c r="F50" s="11" t="s">
        <v>310</v>
      </c>
    </row>
    <row r="51" spans="1:6" ht="36" customHeight="1" x14ac:dyDescent="0.3">
      <c r="A51" s="14" t="s">
        <v>404</v>
      </c>
      <c r="B51" s="11" t="s">
        <v>294</v>
      </c>
      <c r="C51" s="5" t="s">
        <v>295</v>
      </c>
      <c r="D51" s="18" t="s">
        <v>31</v>
      </c>
      <c r="E51" s="5" t="s">
        <v>405</v>
      </c>
      <c r="F51" s="11" t="s">
        <v>310</v>
      </c>
    </row>
    <row r="52" spans="1:6" ht="36" customHeight="1" x14ac:dyDescent="0.3">
      <c r="A52" s="14" t="s">
        <v>406</v>
      </c>
      <c r="B52" s="11" t="s">
        <v>294</v>
      </c>
      <c r="C52" s="5" t="s">
        <v>295</v>
      </c>
      <c r="D52" s="18" t="s">
        <v>31</v>
      </c>
      <c r="E52" s="5" t="s">
        <v>407</v>
      </c>
      <c r="F52" s="11" t="s">
        <v>310</v>
      </c>
    </row>
    <row r="53" spans="1:6" ht="36" customHeight="1" x14ac:dyDescent="0.3">
      <c r="A53" s="14" t="s">
        <v>408</v>
      </c>
      <c r="B53" s="11" t="s">
        <v>294</v>
      </c>
      <c r="C53" s="5" t="s">
        <v>300</v>
      </c>
      <c r="D53" s="18" t="s">
        <v>31</v>
      </c>
      <c r="E53" s="5" t="s">
        <v>409</v>
      </c>
      <c r="F53" s="11" t="s">
        <v>313</v>
      </c>
    </row>
    <row r="54" spans="1:6" ht="36" customHeight="1" x14ac:dyDescent="0.3">
      <c r="A54" s="14" t="s">
        <v>410</v>
      </c>
      <c r="B54" s="11" t="s">
        <v>294</v>
      </c>
      <c r="C54" s="5" t="s">
        <v>300</v>
      </c>
      <c r="D54" s="18" t="s">
        <v>31</v>
      </c>
      <c r="E54" s="5" t="s">
        <v>411</v>
      </c>
      <c r="F54" s="11" t="s">
        <v>310</v>
      </c>
    </row>
    <row r="56" spans="1:6" ht="15.6" x14ac:dyDescent="0.3">
      <c r="A56" s="3" t="s">
        <v>412</v>
      </c>
    </row>
    <row r="57" spans="1:6" ht="36" customHeight="1" x14ac:dyDescent="0.3">
      <c r="A57" s="14" t="s">
        <v>413</v>
      </c>
      <c r="B57" s="11" t="s">
        <v>414</v>
      </c>
      <c r="C57" s="5" t="s">
        <v>415</v>
      </c>
      <c r="D57" s="11" t="s">
        <v>94</v>
      </c>
      <c r="E57" s="5" t="s">
        <v>416</v>
      </c>
      <c r="F57" s="11" t="s">
        <v>387</v>
      </c>
    </row>
    <row r="58" spans="1:6" ht="36" customHeight="1" x14ac:dyDescent="0.3">
      <c r="A58" s="14" t="s">
        <v>417</v>
      </c>
      <c r="B58" s="11" t="s">
        <v>414</v>
      </c>
      <c r="C58" s="5" t="s">
        <v>415</v>
      </c>
      <c r="D58" s="11" t="s">
        <v>94</v>
      </c>
      <c r="E58" s="5" t="s">
        <v>418</v>
      </c>
      <c r="F58" s="11" t="s">
        <v>310</v>
      </c>
    </row>
    <row r="59" spans="1:6" ht="36" customHeight="1" x14ac:dyDescent="0.3">
      <c r="A59" s="14" t="s">
        <v>419</v>
      </c>
      <c r="B59" s="11" t="s">
        <v>414</v>
      </c>
      <c r="C59" s="5" t="s">
        <v>415</v>
      </c>
      <c r="D59" s="11" t="s">
        <v>94</v>
      </c>
      <c r="E59" s="5" t="s">
        <v>420</v>
      </c>
      <c r="F59" s="11" t="s">
        <v>310</v>
      </c>
    </row>
    <row r="60" spans="1:6" ht="36" customHeight="1" x14ac:dyDescent="0.3">
      <c r="A60" s="14" t="s">
        <v>421</v>
      </c>
      <c r="B60" s="11" t="s">
        <v>414</v>
      </c>
      <c r="C60" s="5" t="s">
        <v>415</v>
      </c>
      <c r="D60" s="11" t="s">
        <v>94</v>
      </c>
      <c r="E60" s="5" t="s">
        <v>422</v>
      </c>
      <c r="F60" s="11" t="s">
        <v>322</v>
      </c>
    </row>
    <row r="61" spans="1:6" ht="21" customHeight="1" x14ac:dyDescent="0.3">
      <c r="A61" s="14" t="s">
        <v>423</v>
      </c>
      <c r="B61" s="11" t="s">
        <v>414</v>
      </c>
      <c r="C61" s="5" t="s">
        <v>415</v>
      </c>
      <c r="D61" s="11" t="s">
        <v>94</v>
      </c>
      <c r="E61" s="5" t="s">
        <v>424</v>
      </c>
      <c r="F61" s="11" t="s">
        <v>310</v>
      </c>
    </row>
    <row r="62" spans="1:6" ht="21" customHeight="1" x14ac:dyDescent="0.3">
      <c r="A62" s="14" t="s">
        <v>425</v>
      </c>
      <c r="B62" s="11" t="s">
        <v>414</v>
      </c>
      <c r="C62" s="5" t="s">
        <v>415</v>
      </c>
      <c r="D62" s="11" t="s">
        <v>94</v>
      </c>
      <c r="E62" s="5" t="s">
        <v>426</v>
      </c>
      <c r="F62" s="11" t="s">
        <v>310</v>
      </c>
    </row>
    <row r="63" spans="1:6" ht="36" customHeight="1" x14ac:dyDescent="0.3">
      <c r="A63" s="14" t="s">
        <v>427</v>
      </c>
      <c r="B63" s="11" t="s">
        <v>414</v>
      </c>
      <c r="C63" s="5" t="s">
        <v>415</v>
      </c>
      <c r="D63" s="11" t="s">
        <v>94</v>
      </c>
      <c r="E63" s="5" t="s">
        <v>428</v>
      </c>
      <c r="F63" s="11" t="s">
        <v>310</v>
      </c>
    </row>
    <row r="65" spans="1:6" ht="15.6" x14ac:dyDescent="0.3">
      <c r="A65" s="3" t="s">
        <v>429</v>
      </c>
    </row>
    <row r="66" spans="1:6" ht="36" customHeight="1" x14ac:dyDescent="0.3">
      <c r="A66" s="4" t="s">
        <v>244</v>
      </c>
      <c r="B66" s="5"/>
      <c r="C66" s="5"/>
      <c r="D66" s="5"/>
      <c r="E66" s="5" t="s">
        <v>430</v>
      </c>
      <c r="F66" s="5"/>
    </row>
    <row r="67" spans="1:6" ht="36" customHeight="1" x14ac:dyDescent="0.3">
      <c r="A67" s="4" t="s">
        <v>257</v>
      </c>
      <c r="B67" s="5"/>
      <c r="C67" s="5"/>
      <c r="D67" s="5"/>
      <c r="E67" s="5" t="s">
        <v>431</v>
      </c>
      <c r="F67" s="5"/>
    </row>
    <row r="68" spans="1:6" ht="36" customHeight="1" x14ac:dyDescent="0.3">
      <c r="A68" s="4" t="s">
        <v>270</v>
      </c>
      <c r="B68" s="5"/>
      <c r="C68" s="5"/>
      <c r="D68" s="5"/>
      <c r="E68" s="5" t="s">
        <v>432</v>
      </c>
      <c r="F68" s="5"/>
    </row>
    <row r="69" spans="1:6" ht="36" customHeight="1" x14ac:dyDescent="0.3">
      <c r="A69" s="4" t="s">
        <v>433</v>
      </c>
      <c r="B69" s="5"/>
      <c r="C69" s="5"/>
      <c r="D69" s="5"/>
      <c r="E69" s="5" t="s">
        <v>434</v>
      </c>
      <c r="F69" s="5"/>
    </row>
    <row r="70" spans="1:6" ht="21" customHeight="1" x14ac:dyDescent="0.3">
      <c r="A70" s="4" t="s">
        <v>294</v>
      </c>
      <c r="B70" s="5"/>
      <c r="C70" s="5"/>
      <c r="D70" s="5"/>
      <c r="E70" s="5" t="s">
        <v>435</v>
      </c>
      <c r="F70" s="5"/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50" customWidth="1"/>
    <col min="3" max="3" width="26" customWidth="1"/>
    <col min="4" max="4" width="24" customWidth="1"/>
    <col min="5" max="5" width="12" customWidth="1"/>
    <col min="6" max="6" width="30" customWidth="1"/>
  </cols>
  <sheetData>
    <row r="1" spans="1:6" ht="21" x14ac:dyDescent="0.4">
      <c r="A1" s="1" t="s">
        <v>436</v>
      </c>
    </row>
    <row r="2" spans="1:6" x14ac:dyDescent="0.3">
      <c r="A2" s="2" t="s">
        <v>437</v>
      </c>
    </row>
    <row r="4" spans="1:6" ht="31.95" customHeight="1" x14ac:dyDescent="0.3">
      <c r="A4" s="6" t="s">
        <v>304</v>
      </c>
      <c r="B4" s="6" t="s">
        <v>438</v>
      </c>
      <c r="C4" s="6" t="s">
        <v>439</v>
      </c>
      <c r="D4" s="6" t="s">
        <v>221</v>
      </c>
      <c r="E4" s="6" t="s">
        <v>86</v>
      </c>
      <c r="F4" s="6" t="s">
        <v>440</v>
      </c>
    </row>
    <row r="5" spans="1:6" ht="21" customHeight="1" x14ac:dyDescent="0.3">
      <c r="A5" s="14" t="s">
        <v>441</v>
      </c>
      <c r="B5" s="5" t="s">
        <v>442</v>
      </c>
      <c r="C5" s="11" t="s">
        <v>443</v>
      </c>
      <c r="D5" s="11" t="s">
        <v>444</v>
      </c>
      <c r="E5" s="18" t="s">
        <v>31</v>
      </c>
      <c r="F5" s="5" t="s">
        <v>445</v>
      </c>
    </row>
    <row r="6" spans="1:6" ht="21" customHeight="1" x14ac:dyDescent="0.3">
      <c r="A6" s="14" t="s">
        <v>446</v>
      </c>
      <c r="B6" s="5" t="s">
        <v>447</v>
      </c>
      <c r="C6" s="11" t="s">
        <v>448</v>
      </c>
      <c r="D6" s="11" t="s">
        <v>444</v>
      </c>
      <c r="E6" s="17" t="s">
        <v>21</v>
      </c>
      <c r="F6" s="5" t="s">
        <v>449</v>
      </c>
    </row>
    <row r="7" spans="1:6" ht="21" customHeight="1" x14ac:dyDescent="0.3">
      <c r="A7" s="14" t="s">
        <v>450</v>
      </c>
      <c r="B7" s="5" t="s">
        <v>451</v>
      </c>
      <c r="C7" s="11" t="s">
        <v>452</v>
      </c>
      <c r="D7" s="11" t="s">
        <v>240</v>
      </c>
      <c r="E7" s="17" t="s">
        <v>21</v>
      </c>
      <c r="F7" s="5" t="s">
        <v>453</v>
      </c>
    </row>
    <row r="8" spans="1:6" ht="21" customHeight="1" x14ac:dyDescent="0.3">
      <c r="A8" s="14" t="s">
        <v>454</v>
      </c>
      <c r="B8" s="5" t="s">
        <v>455</v>
      </c>
      <c r="C8" s="11" t="s">
        <v>452</v>
      </c>
      <c r="D8" s="11" t="s">
        <v>240</v>
      </c>
      <c r="E8" s="17" t="s">
        <v>21</v>
      </c>
      <c r="F8" s="5" t="s">
        <v>456</v>
      </c>
    </row>
    <row r="9" spans="1:6" ht="21" customHeight="1" x14ac:dyDescent="0.3">
      <c r="A9" s="14" t="s">
        <v>457</v>
      </c>
      <c r="B9" s="5" t="s">
        <v>458</v>
      </c>
      <c r="C9" s="11" t="s">
        <v>459</v>
      </c>
      <c r="D9" s="11" t="s">
        <v>228</v>
      </c>
      <c r="E9" s="19" t="s">
        <v>26</v>
      </c>
      <c r="F9" s="5" t="s">
        <v>460</v>
      </c>
    </row>
    <row r="10" spans="1:6" ht="21" customHeight="1" x14ac:dyDescent="0.3">
      <c r="A10" s="14" t="s">
        <v>461</v>
      </c>
      <c r="B10" s="5" t="s">
        <v>462</v>
      </c>
      <c r="C10" s="11" t="s">
        <v>452</v>
      </c>
      <c r="D10" s="11" t="s">
        <v>240</v>
      </c>
      <c r="E10" s="17" t="s">
        <v>21</v>
      </c>
      <c r="F10" s="5" t="s">
        <v>463</v>
      </c>
    </row>
    <row r="11" spans="1:6" ht="21" customHeight="1" x14ac:dyDescent="0.3">
      <c r="A11" s="14" t="s">
        <v>464</v>
      </c>
      <c r="B11" s="5" t="s">
        <v>465</v>
      </c>
      <c r="C11" s="11" t="s">
        <v>466</v>
      </c>
      <c r="D11" s="11" t="s">
        <v>237</v>
      </c>
      <c r="E11" s="17" t="s">
        <v>21</v>
      </c>
      <c r="F11" s="5" t="s">
        <v>467</v>
      </c>
    </row>
    <row r="12" spans="1:6" ht="21" customHeight="1" x14ac:dyDescent="0.3">
      <c r="A12" s="14" t="s">
        <v>468</v>
      </c>
      <c r="B12" s="5" t="s">
        <v>260</v>
      </c>
      <c r="C12" s="11" t="s">
        <v>466</v>
      </c>
      <c r="D12" s="11" t="s">
        <v>237</v>
      </c>
      <c r="E12" s="17" t="s">
        <v>21</v>
      </c>
      <c r="F12" s="5" t="s">
        <v>469</v>
      </c>
    </row>
    <row r="13" spans="1:6" ht="21" customHeight="1" x14ac:dyDescent="0.3">
      <c r="A13" s="14" t="s">
        <v>470</v>
      </c>
      <c r="B13" s="5" t="s">
        <v>264</v>
      </c>
      <c r="C13" s="11" t="s">
        <v>471</v>
      </c>
      <c r="D13" s="11" t="s">
        <v>237</v>
      </c>
      <c r="E13" s="17" t="s">
        <v>21</v>
      </c>
      <c r="F13" s="5" t="s">
        <v>472</v>
      </c>
    </row>
    <row r="14" spans="1:6" ht="21" customHeight="1" x14ac:dyDescent="0.3">
      <c r="A14" s="14" t="s">
        <v>473</v>
      </c>
      <c r="B14" s="5" t="s">
        <v>230</v>
      </c>
      <c r="C14" s="11" t="s">
        <v>466</v>
      </c>
      <c r="D14" s="11" t="s">
        <v>233</v>
      </c>
      <c r="E14" s="19" t="s">
        <v>26</v>
      </c>
      <c r="F14" s="5" t="s">
        <v>474</v>
      </c>
    </row>
    <row r="15" spans="1:6" ht="21" customHeight="1" x14ac:dyDescent="0.3">
      <c r="A15" s="14" t="s">
        <v>475</v>
      </c>
      <c r="B15" s="5" t="s">
        <v>266</v>
      </c>
      <c r="C15" s="11" t="s">
        <v>466</v>
      </c>
      <c r="D15" s="11" t="s">
        <v>268</v>
      </c>
      <c r="E15" s="17" t="s">
        <v>21</v>
      </c>
      <c r="F15" s="5" t="s">
        <v>476</v>
      </c>
    </row>
    <row r="16" spans="1:6" ht="21" customHeight="1" x14ac:dyDescent="0.3">
      <c r="A16" s="14" t="s">
        <v>477</v>
      </c>
      <c r="B16" s="5" t="s">
        <v>478</v>
      </c>
      <c r="C16" s="11" t="s">
        <v>459</v>
      </c>
      <c r="D16" s="11" t="s">
        <v>29</v>
      </c>
      <c r="E16" s="19" t="s">
        <v>26</v>
      </c>
      <c r="F16" s="5" t="s">
        <v>479</v>
      </c>
    </row>
    <row r="17" spans="1:6" ht="21" customHeight="1" x14ac:dyDescent="0.3">
      <c r="A17" s="14" t="s">
        <v>480</v>
      </c>
      <c r="B17" s="5" t="s">
        <v>481</v>
      </c>
      <c r="C17" s="11" t="s">
        <v>466</v>
      </c>
      <c r="D17" s="11" t="s">
        <v>29</v>
      </c>
      <c r="E17" s="19" t="s">
        <v>26</v>
      </c>
      <c r="F17" s="5" t="s">
        <v>482</v>
      </c>
    </row>
    <row r="18" spans="1:6" ht="21" customHeight="1" x14ac:dyDescent="0.3">
      <c r="A18" s="14" t="s">
        <v>483</v>
      </c>
      <c r="B18" s="5" t="s">
        <v>484</v>
      </c>
      <c r="C18" s="11" t="s">
        <v>471</v>
      </c>
      <c r="D18" s="11" t="s">
        <v>29</v>
      </c>
      <c r="E18" s="19" t="s">
        <v>26</v>
      </c>
      <c r="F18" s="5" t="s">
        <v>485</v>
      </c>
    </row>
    <row r="19" spans="1:6" ht="21" customHeight="1" x14ac:dyDescent="0.3">
      <c r="A19" s="14" t="s">
        <v>486</v>
      </c>
      <c r="B19" s="5" t="s">
        <v>271</v>
      </c>
      <c r="C19" s="11" t="s">
        <v>459</v>
      </c>
      <c r="D19" s="11" t="s">
        <v>29</v>
      </c>
      <c r="E19" s="19" t="s">
        <v>26</v>
      </c>
      <c r="F19" s="5" t="s">
        <v>487</v>
      </c>
    </row>
    <row r="20" spans="1:6" ht="21" customHeight="1" x14ac:dyDescent="0.3">
      <c r="A20" s="14" t="s">
        <v>488</v>
      </c>
      <c r="B20" s="5" t="s">
        <v>274</v>
      </c>
      <c r="C20" s="11" t="s">
        <v>471</v>
      </c>
      <c r="D20" s="11" t="s">
        <v>29</v>
      </c>
      <c r="E20" s="19" t="s">
        <v>26</v>
      </c>
      <c r="F20" s="5" t="s">
        <v>489</v>
      </c>
    </row>
    <row r="21" spans="1:6" ht="21" customHeight="1" x14ac:dyDescent="0.3">
      <c r="A21" s="14" t="s">
        <v>490</v>
      </c>
      <c r="B21" s="5" t="s">
        <v>277</v>
      </c>
      <c r="C21" s="11" t="s">
        <v>471</v>
      </c>
      <c r="D21" s="11" t="s">
        <v>29</v>
      </c>
      <c r="E21" s="19" t="s">
        <v>26</v>
      </c>
      <c r="F21" s="5" t="s">
        <v>491</v>
      </c>
    </row>
    <row r="22" spans="1:6" ht="21" customHeight="1" x14ac:dyDescent="0.3">
      <c r="A22" s="14" t="s">
        <v>492</v>
      </c>
      <c r="B22" s="5" t="s">
        <v>493</v>
      </c>
      <c r="C22" s="11" t="s">
        <v>466</v>
      </c>
      <c r="D22" s="11" t="s">
        <v>286</v>
      </c>
      <c r="E22" s="18" t="s">
        <v>31</v>
      </c>
      <c r="F22" s="5" t="s">
        <v>494</v>
      </c>
    </row>
    <row r="23" spans="1:6" ht="21" customHeight="1" x14ac:dyDescent="0.3">
      <c r="A23" s="14" t="s">
        <v>495</v>
      </c>
      <c r="B23" s="5" t="s">
        <v>496</v>
      </c>
      <c r="C23" s="11" t="s">
        <v>459</v>
      </c>
      <c r="D23" s="11" t="s">
        <v>282</v>
      </c>
      <c r="E23" s="18" t="s">
        <v>31</v>
      </c>
      <c r="F23" s="5" t="s">
        <v>497</v>
      </c>
    </row>
    <row r="24" spans="1:6" ht="21" customHeight="1" x14ac:dyDescent="0.3">
      <c r="A24" s="14" t="s">
        <v>498</v>
      </c>
      <c r="B24" s="5" t="s">
        <v>284</v>
      </c>
      <c r="C24" s="11" t="s">
        <v>466</v>
      </c>
      <c r="D24" s="11" t="s">
        <v>286</v>
      </c>
      <c r="E24" s="18" t="s">
        <v>31</v>
      </c>
      <c r="F24" s="5" t="s">
        <v>499</v>
      </c>
    </row>
    <row r="25" spans="1:6" ht="21" customHeight="1" x14ac:dyDescent="0.3">
      <c r="A25" s="14" t="s">
        <v>500</v>
      </c>
      <c r="B25" s="5" t="s">
        <v>501</v>
      </c>
      <c r="C25" s="11" t="s">
        <v>459</v>
      </c>
      <c r="D25" s="11" t="s">
        <v>237</v>
      </c>
      <c r="E25" s="17" t="s">
        <v>21</v>
      </c>
      <c r="F25" s="5" t="s">
        <v>502</v>
      </c>
    </row>
    <row r="26" spans="1:6" ht="21" customHeight="1" x14ac:dyDescent="0.3">
      <c r="A26" s="14" t="s">
        <v>503</v>
      </c>
      <c r="B26" s="5" t="s">
        <v>504</v>
      </c>
      <c r="C26" s="11" t="s">
        <v>466</v>
      </c>
      <c r="D26" s="11" t="s">
        <v>286</v>
      </c>
      <c r="E26" s="18" t="s">
        <v>31</v>
      </c>
      <c r="F26" s="5" t="s">
        <v>505</v>
      </c>
    </row>
    <row r="27" spans="1:6" ht="21" customHeight="1" x14ac:dyDescent="0.3">
      <c r="A27" s="14" t="s">
        <v>506</v>
      </c>
      <c r="B27" s="5" t="s">
        <v>300</v>
      </c>
      <c r="C27" s="11" t="s">
        <v>466</v>
      </c>
      <c r="D27" s="11" t="s">
        <v>286</v>
      </c>
      <c r="E27" s="18" t="s">
        <v>31</v>
      </c>
      <c r="F27" s="5" t="s">
        <v>507</v>
      </c>
    </row>
  </sheetData>
  <autoFilter ref="A4:F27" xr:uid="{00000000-0009-0000-0000-000004000000}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22" customWidth="1"/>
    <col min="3" max="3" width="20" customWidth="1"/>
    <col min="4" max="4" width="10" customWidth="1"/>
    <col min="5" max="5" width="13" customWidth="1"/>
    <col min="6" max="6" width="36" customWidth="1"/>
    <col min="7" max="7" width="20" customWidth="1"/>
    <col min="8" max="8" width="22" customWidth="1"/>
    <col min="9" max="9" width="56" customWidth="1"/>
  </cols>
  <sheetData>
    <row r="1" spans="1:9" ht="21" x14ac:dyDescent="0.4">
      <c r="A1" s="1" t="s">
        <v>508</v>
      </c>
    </row>
    <row r="2" spans="1:9" x14ac:dyDescent="0.3">
      <c r="A2" s="2" t="s">
        <v>509</v>
      </c>
    </row>
    <row r="4" spans="1:9" ht="31.95" customHeight="1" x14ac:dyDescent="0.3">
      <c r="A4" s="6" t="s">
        <v>510</v>
      </c>
      <c r="B4" s="6" t="s">
        <v>511</v>
      </c>
      <c r="C4" s="6" t="s">
        <v>512</v>
      </c>
      <c r="D4" s="6" t="s">
        <v>513</v>
      </c>
      <c r="E4" s="6" t="s">
        <v>514</v>
      </c>
      <c r="F4" s="6" t="s">
        <v>515</v>
      </c>
      <c r="G4" s="6" t="s">
        <v>516</v>
      </c>
      <c r="H4" s="6" t="s">
        <v>310</v>
      </c>
      <c r="I4" s="6" t="s">
        <v>517</v>
      </c>
    </row>
    <row r="5" spans="1:9" ht="21" customHeight="1" x14ac:dyDescent="0.3">
      <c r="A5" s="4" t="s">
        <v>518</v>
      </c>
      <c r="B5" s="5" t="s">
        <v>518</v>
      </c>
      <c r="C5" s="5" t="s">
        <v>519</v>
      </c>
      <c r="D5" s="11" t="s">
        <v>520</v>
      </c>
      <c r="E5" s="19" t="s">
        <v>26</v>
      </c>
      <c r="F5" s="5" t="s">
        <v>521</v>
      </c>
      <c r="G5" s="5" t="s">
        <v>522</v>
      </c>
      <c r="H5" s="5" t="s">
        <v>523</v>
      </c>
      <c r="I5" s="5" t="s">
        <v>524</v>
      </c>
    </row>
    <row r="6" spans="1:9" ht="36" customHeight="1" x14ac:dyDescent="0.3">
      <c r="A6" s="4" t="s">
        <v>525</v>
      </c>
      <c r="B6" s="5" t="s">
        <v>525</v>
      </c>
      <c r="C6" s="5" t="s">
        <v>526</v>
      </c>
      <c r="D6" s="11" t="s">
        <v>527</v>
      </c>
      <c r="E6" s="17" t="s">
        <v>21</v>
      </c>
      <c r="F6" s="5" t="s">
        <v>528</v>
      </c>
      <c r="G6" s="5" t="s">
        <v>529</v>
      </c>
      <c r="H6" s="5" t="s">
        <v>530</v>
      </c>
      <c r="I6" s="5" t="s">
        <v>531</v>
      </c>
    </row>
    <row r="7" spans="1:9" ht="21" customHeight="1" x14ac:dyDescent="0.3">
      <c r="A7" s="4" t="s">
        <v>532</v>
      </c>
      <c r="B7" s="5" t="s">
        <v>532</v>
      </c>
      <c r="C7" s="5" t="s">
        <v>533</v>
      </c>
      <c r="D7" s="11" t="s">
        <v>534</v>
      </c>
      <c r="E7" s="17" t="s">
        <v>21</v>
      </c>
      <c r="F7" s="5" t="s">
        <v>535</v>
      </c>
      <c r="G7" s="5" t="s">
        <v>536</v>
      </c>
      <c r="H7" s="5" t="s">
        <v>537</v>
      </c>
      <c r="I7" s="5" t="s">
        <v>538</v>
      </c>
    </row>
    <row r="8" spans="1:9" ht="36" customHeight="1" x14ac:dyDescent="0.3">
      <c r="A8" s="4" t="s">
        <v>539</v>
      </c>
      <c r="B8" s="5" t="s">
        <v>539</v>
      </c>
      <c r="C8" s="5" t="s">
        <v>540</v>
      </c>
      <c r="D8" s="11" t="s">
        <v>541</v>
      </c>
      <c r="E8" s="17" t="s">
        <v>21</v>
      </c>
      <c r="F8" s="5" t="s">
        <v>542</v>
      </c>
      <c r="G8" s="5" t="s">
        <v>543</v>
      </c>
      <c r="H8" s="5" t="s">
        <v>544</v>
      </c>
      <c r="I8" s="5" t="s">
        <v>545</v>
      </c>
    </row>
    <row r="9" spans="1:9" ht="21" customHeight="1" x14ac:dyDescent="0.3">
      <c r="A9" s="4" t="s">
        <v>546</v>
      </c>
      <c r="B9" s="5" t="s">
        <v>546</v>
      </c>
      <c r="C9" s="5" t="s">
        <v>547</v>
      </c>
      <c r="D9" s="11" t="s">
        <v>521</v>
      </c>
      <c r="E9" s="17" t="s">
        <v>21</v>
      </c>
      <c r="F9" s="5" t="s">
        <v>548</v>
      </c>
      <c r="G9" s="5" t="s">
        <v>549</v>
      </c>
      <c r="H9" s="5" t="s">
        <v>550</v>
      </c>
      <c r="I9" s="5" t="s">
        <v>551</v>
      </c>
    </row>
    <row r="10" spans="1:9" ht="21" customHeight="1" x14ac:dyDescent="0.3">
      <c r="A10" s="4" t="s">
        <v>552</v>
      </c>
      <c r="B10" s="5" t="s">
        <v>552</v>
      </c>
      <c r="C10" s="5" t="s">
        <v>553</v>
      </c>
      <c r="D10" s="11" t="s">
        <v>554</v>
      </c>
      <c r="E10" s="17" t="s">
        <v>21</v>
      </c>
      <c r="F10" s="5" t="s">
        <v>548</v>
      </c>
      <c r="G10" s="5" t="s">
        <v>555</v>
      </c>
      <c r="H10" s="5" t="s">
        <v>556</v>
      </c>
      <c r="I10" s="5" t="s">
        <v>557</v>
      </c>
    </row>
    <row r="11" spans="1:9" ht="21" customHeight="1" x14ac:dyDescent="0.3">
      <c r="A11" s="4" t="s">
        <v>558</v>
      </c>
      <c r="B11" s="5" t="s">
        <v>559</v>
      </c>
      <c r="C11" s="5" t="s">
        <v>560</v>
      </c>
      <c r="D11" s="11" t="s">
        <v>561</v>
      </c>
      <c r="E11" s="17" t="s">
        <v>21</v>
      </c>
      <c r="F11" s="5" t="s">
        <v>521</v>
      </c>
      <c r="G11" s="5" t="s">
        <v>562</v>
      </c>
      <c r="H11" s="5" t="s">
        <v>563</v>
      </c>
      <c r="I11" s="5" t="s">
        <v>564</v>
      </c>
    </row>
    <row r="12" spans="1:9" ht="21" customHeight="1" x14ac:dyDescent="0.3">
      <c r="A12" s="4" t="s">
        <v>565</v>
      </c>
      <c r="B12" s="5" t="s">
        <v>565</v>
      </c>
      <c r="C12" s="5" t="s">
        <v>566</v>
      </c>
      <c r="D12" s="11" t="s">
        <v>567</v>
      </c>
      <c r="E12" s="19" t="s">
        <v>26</v>
      </c>
      <c r="F12" s="5" t="s">
        <v>568</v>
      </c>
      <c r="G12" s="5" t="s">
        <v>569</v>
      </c>
      <c r="H12" s="5" t="s">
        <v>570</v>
      </c>
      <c r="I12" s="5" t="s">
        <v>571</v>
      </c>
    </row>
    <row r="13" spans="1:9" ht="21" customHeight="1" x14ac:dyDescent="0.3">
      <c r="A13" s="4" t="s">
        <v>572</v>
      </c>
      <c r="B13" s="5" t="s">
        <v>572</v>
      </c>
      <c r="C13" s="5" t="s">
        <v>573</v>
      </c>
      <c r="D13" s="11" t="s">
        <v>574</v>
      </c>
      <c r="E13" s="19" t="s">
        <v>26</v>
      </c>
      <c r="F13" s="5" t="s">
        <v>575</v>
      </c>
      <c r="G13" s="5" t="s">
        <v>576</v>
      </c>
      <c r="H13" s="5" t="s">
        <v>577</v>
      </c>
      <c r="I13" s="5" t="s">
        <v>578</v>
      </c>
    </row>
    <row r="14" spans="1:9" ht="21" customHeight="1" x14ac:dyDescent="0.3">
      <c r="A14" s="4" t="s">
        <v>579</v>
      </c>
      <c r="B14" s="5" t="s">
        <v>579</v>
      </c>
      <c r="C14" s="5" t="s">
        <v>580</v>
      </c>
      <c r="D14" s="11" t="s">
        <v>581</v>
      </c>
      <c r="E14" s="19" t="s">
        <v>26</v>
      </c>
      <c r="F14" s="5" t="s">
        <v>582</v>
      </c>
      <c r="G14" s="5" t="s">
        <v>583</v>
      </c>
      <c r="H14" s="5" t="s">
        <v>584</v>
      </c>
      <c r="I14" s="5" t="s">
        <v>585</v>
      </c>
    </row>
    <row r="15" spans="1:9" ht="21" customHeight="1" x14ac:dyDescent="0.3">
      <c r="A15" s="4" t="s">
        <v>586</v>
      </c>
      <c r="B15" s="5" t="s">
        <v>586</v>
      </c>
      <c r="C15" s="5" t="s">
        <v>587</v>
      </c>
      <c r="D15" s="11" t="s">
        <v>588</v>
      </c>
      <c r="E15" s="18" t="s">
        <v>31</v>
      </c>
      <c r="F15" s="5" t="s">
        <v>521</v>
      </c>
      <c r="G15" s="5" t="s">
        <v>589</v>
      </c>
      <c r="H15" s="5" t="s">
        <v>590</v>
      </c>
      <c r="I15" s="5" t="s">
        <v>591</v>
      </c>
    </row>
    <row r="16" spans="1:9" ht="21" customHeight="1" x14ac:dyDescent="0.3">
      <c r="A16" s="4" t="s">
        <v>592</v>
      </c>
      <c r="B16" s="5" t="s">
        <v>592</v>
      </c>
      <c r="C16" s="5" t="s">
        <v>593</v>
      </c>
      <c r="D16" s="11" t="s">
        <v>594</v>
      </c>
      <c r="E16" s="18" t="s">
        <v>31</v>
      </c>
      <c r="F16" s="5" t="s">
        <v>595</v>
      </c>
      <c r="G16" s="5" t="s">
        <v>596</v>
      </c>
      <c r="H16" s="5" t="s">
        <v>597</v>
      </c>
      <c r="I16" s="5" t="s">
        <v>598</v>
      </c>
    </row>
    <row r="17" spans="1:9" ht="21" customHeight="1" x14ac:dyDescent="0.3">
      <c r="A17" s="4" t="s">
        <v>599</v>
      </c>
      <c r="B17" s="5" t="s">
        <v>599</v>
      </c>
      <c r="C17" s="5" t="s">
        <v>600</v>
      </c>
      <c r="D17" s="11" t="s">
        <v>601</v>
      </c>
      <c r="E17" s="18" t="s">
        <v>31</v>
      </c>
      <c r="F17" s="5" t="s">
        <v>521</v>
      </c>
      <c r="G17" s="5" t="s">
        <v>602</v>
      </c>
      <c r="H17" s="5" t="s">
        <v>603</v>
      </c>
      <c r="I17" s="5" t="s">
        <v>604</v>
      </c>
    </row>
    <row r="18" spans="1:9" ht="21" customHeight="1" x14ac:dyDescent="0.3">
      <c r="A18" s="4" t="s">
        <v>605</v>
      </c>
      <c r="B18" s="5" t="s">
        <v>605</v>
      </c>
      <c r="C18" s="5" t="s">
        <v>606</v>
      </c>
      <c r="D18" s="11" t="s">
        <v>607</v>
      </c>
      <c r="E18" s="18" t="s">
        <v>31</v>
      </c>
      <c r="F18" s="5" t="s">
        <v>587</v>
      </c>
      <c r="G18" s="5" t="s">
        <v>608</v>
      </c>
      <c r="H18" s="5" t="s">
        <v>609</v>
      </c>
      <c r="I18" s="5" t="s">
        <v>610</v>
      </c>
    </row>
    <row r="19" spans="1:9" ht="36" customHeight="1" x14ac:dyDescent="0.3">
      <c r="A19" s="4" t="s">
        <v>611</v>
      </c>
      <c r="B19" s="5" t="s">
        <v>611</v>
      </c>
      <c r="C19" s="5" t="s">
        <v>612</v>
      </c>
      <c r="D19" s="11" t="s">
        <v>521</v>
      </c>
      <c r="E19" s="18" t="s">
        <v>31</v>
      </c>
      <c r="F19" s="5" t="s">
        <v>613</v>
      </c>
      <c r="G19" s="5" t="s">
        <v>614</v>
      </c>
      <c r="H19" s="5" t="s">
        <v>615</v>
      </c>
      <c r="I19" s="5" t="s">
        <v>616</v>
      </c>
    </row>
  </sheetData>
  <autoFilter ref="A4:I19" xr:uid="{00000000-0009-0000-0000-000005000000}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4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3" width="14" customWidth="1"/>
    <col min="4" max="5" width="62" customWidth="1"/>
    <col min="6" max="6" width="22" customWidth="1"/>
  </cols>
  <sheetData>
    <row r="1" spans="1:6" ht="21" x14ac:dyDescent="0.4">
      <c r="A1" s="1" t="s">
        <v>617</v>
      </c>
    </row>
    <row r="2" spans="1:6" x14ac:dyDescent="0.3">
      <c r="A2" s="2" t="s">
        <v>618</v>
      </c>
    </row>
    <row r="4" spans="1:6" ht="31.95" customHeight="1" x14ac:dyDescent="0.3">
      <c r="A4" s="6" t="s">
        <v>216</v>
      </c>
      <c r="B4" s="6" t="s">
        <v>619</v>
      </c>
      <c r="C4" s="6" t="s">
        <v>620</v>
      </c>
      <c r="D4" s="6" t="s">
        <v>621</v>
      </c>
      <c r="E4" s="6" t="s">
        <v>622</v>
      </c>
      <c r="F4" s="6" t="s">
        <v>623</v>
      </c>
    </row>
    <row r="5" spans="1:6" ht="21" customHeight="1" x14ac:dyDescent="0.3">
      <c r="A5" s="11">
        <v>1</v>
      </c>
      <c r="B5" s="18" t="s">
        <v>31</v>
      </c>
      <c r="C5" s="11" t="s">
        <v>94</v>
      </c>
      <c r="D5" s="4" t="s">
        <v>624</v>
      </c>
      <c r="E5" s="5" t="s">
        <v>625</v>
      </c>
      <c r="F5" s="11" t="s">
        <v>41</v>
      </c>
    </row>
    <row r="6" spans="1:6" ht="21" customHeight="1" x14ac:dyDescent="0.3">
      <c r="A6" s="11">
        <v>2</v>
      </c>
      <c r="B6" s="18" t="s">
        <v>31</v>
      </c>
      <c r="C6" s="11" t="s">
        <v>94</v>
      </c>
      <c r="D6" s="4" t="s">
        <v>626</v>
      </c>
      <c r="E6" s="5" t="s">
        <v>627</v>
      </c>
      <c r="F6" s="11" t="s">
        <v>41</v>
      </c>
    </row>
    <row r="7" spans="1:6" ht="36" customHeight="1" x14ac:dyDescent="0.3">
      <c r="A7" s="11">
        <v>3</v>
      </c>
      <c r="B7" s="18" t="s">
        <v>31</v>
      </c>
      <c r="C7" s="11" t="s">
        <v>94</v>
      </c>
      <c r="D7" s="4" t="s">
        <v>628</v>
      </c>
      <c r="E7" s="5" t="s">
        <v>629</v>
      </c>
      <c r="F7" s="11" t="s">
        <v>630</v>
      </c>
    </row>
    <row r="8" spans="1:6" ht="36" customHeight="1" x14ac:dyDescent="0.3">
      <c r="A8" s="11">
        <v>4</v>
      </c>
      <c r="B8" s="18" t="s">
        <v>31</v>
      </c>
      <c r="C8" s="11" t="s">
        <v>94</v>
      </c>
      <c r="D8" s="4" t="s">
        <v>631</v>
      </c>
      <c r="E8" s="5" t="s">
        <v>632</v>
      </c>
      <c r="F8" s="11" t="s">
        <v>41</v>
      </c>
    </row>
    <row r="9" spans="1:6" ht="21" customHeight="1" x14ac:dyDescent="0.3">
      <c r="A9" s="11">
        <v>5</v>
      </c>
      <c r="B9" s="18" t="s">
        <v>31</v>
      </c>
      <c r="C9" s="11" t="s">
        <v>633</v>
      </c>
      <c r="D9" s="4" t="s">
        <v>634</v>
      </c>
      <c r="E9" s="5" t="s">
        <v>635</v>
      </c>
      <c r="F9" s="11" t="s">
        <v>46</v>
      </c>
    </row>
    <row r="10" spans="1:6" ht="21" customHeight="1" x14ac:dyDescent="0.3">
      <c r="A10" s="11">
        <v>6</v>
      </c>
      <c r="B10" s="18" t="s">
        <v>31</v>
      </c>
      <c r="C10" s="11" t="s">
        <v>633</v>
      </c>
      <c r="D10" s="4" t="s">
        <v>636</v>
      </c>
      <c r="E10" s="5" t="s">
        <v>637</v>
      </c>
      <c r="F10" s="11" t="s">
        <v>46</v>
      </c>
    </row>
    <row r="11" spans="1:6" ht="21" customHeight="1" x14ac:dyDescent="0.3">
      <c r="A11" s="11">
        <v>7</v>
      </c>
      <c r="B11" s="18" t="s">
        <v>31</v>
      </c>
      <c r="C11" s="11" t="s">
        <v>21</v>
      </c>
      <c r="D11" s="4" t="s">
        <v>638</v>
      </c>
      <c r="E11" s="5" t="s">
        <v>639</v>
      </c>
      <c r="F11" s="11" t="s">
        <v>46</v>
      </c>
    </row>
    <row r="12" spans="1:6" ht="21" customHeight="1" x14ac:dyDescent="0.3">
      <c r="A12" s="11">
        <v>8</v>
      </c>
      <c r="B12" s="19" t="s">
        <v>26</v>
      </c>
      <c r="C12" s="11" t="s">
        <v>21</v>
      </c>
      <c r="D12" s="4" t="s">
        <v>640</v>
      </c>
      <c r="E12" s="5" t="s">
        <v>641</v>
      </c>
      <c r="F12" s="11" t="s">
        <v>46</v>
      </c>
    </row>
    <row r="13" spans="1:6" ht="21" customHeight="1" x14ac:dyDescent="0.3">
      <c r="A13" s="11">
        <v>9</v>
      </c>
      <c r="B13" s="17" t="s">
        <v>21</v>
      </c>
      <c r="C13" s="11" t="s">
        <v>26</v>
      </c>
      <c r="D13" s="4" t="s">
        <v>642</v>
      </c>
      <c r="E13" s="5" t="s">
        <v>643</v>
      </c>
      <c r="F13" s="11" t="s">
        <v>46</v>
      </c>
    </row>
    <row r="14" spans="1:6" ht="21" customHeight="1" x14ac:dyDescent="0.3">
      <c r="A14" s="11">
        <v>10</v>
      </c>
      <c r="B14" s="19" t="s">
        <v>26</v>
      </c>
      <c r="C14" s="11" t="s">
        <v>21</v>
      </c>
      <c r="D14" s="4" t="s">
        <v>644</v>
      </c>
      <c r="E14" s="5" t="s">
        <v>645</v>
      </c>
      <c r="F14" s="11" t="s">
        <v>46</v>
      </c>
    </row>
    <row r="15" spans="1:6" ht="21" customHeight="1" x14ac:dyDescent="0.3">
      <c r="A15" s="11">
        <v>11</v>
      </c>
      <c r="B15" s="19" t="s">
        <v>26</v>
      </c>
      <c r="C15" s="11" t="s">
        <v>21</v>
      </c>
      <c r="D15" s="4" t="s">
        <v>646</v>
      </c>
      <c r="E15" s="5" t="s">
        <v>647</v>
      </c>
      <c r="F15" s="11" t="s">
        <v>46</v>
      </c>
    </row>
    <row r="16" spans="1:6" ht="21" customHeight="1" x14ac:dyDescent="0.3">
      <c r="A16" s="11">
        <v>12</v>
      </c>
      <c r="B16" s="17" t="s">
        <v>21</v>
      </c>
      <c r="C16" s="11" t="s">
        <v>26</v>
      </c>
      <c r="D16" s="4" t="s">
        <v>648</v>
      </c>
      <c r="E16" s="5" t="s">
        <v>649</v>
      </c>
      <c r="F16" s="11" t="s">
        <v>46</v>
      </c>
    </row>
    <row r="17" spans="1:6" ht="36" customHeight="1" x14ac:dyDescent="0.3">
      <c r="A17" s="11">
        <v>13</v>
      </c>
      <c r="B17" s="17" t="s">
        <v>21</v>
      </c>
      <c r="C17" s="11" t="s">
        <v>26</v>
      </c>
      <c r="D17" s="4" t="s">
        <v>650</v>
      </c>
      <c r="E17" s="5" t="s">
        <v>651</v>
      </c>
      <c r="F17" s="11" t="s">
        <v>46</v>
      </c>
    </row>
    <row r="18" spans="1:6" ht="36" customHeight="1" x14ac:dyDescent="0.3">
      <c r="A18" s="11">
        <v>14</v>
      </c>
      <c r="B18" s="17" t="s">
        <v>21</v>
      </c>
      <c r="C18" s="11" t="s">
        <v>26</v>
      </c>
      <c r="D18" s="4" t="s">
        <v>652</v>
      </c>
      <c r="E18" s="5" t="s">
        <v>653</v>
      </c>
      <c r="F18" s="11" t="s">
        <v>46</v>
      </c>
    </row>
    <row r="19" spans="1:6" ht="21" customHeight="1" x14ac:dyDescent="0.3">
      <c r="A19" s="11">
        <v>15</v>
      </c>
      <c r="B19" s="19" t="s">
        <v>26</v>
      </c>
      <c r="C19" s="11" t="s">
        <v>21</v>
      </c>
      <c r="D19" s="4" t="s">
        <v>654</v>
      </c>
      <c r="E19" s="5" t="s">
        <v>655</v>
      </c>
      <c r="F19" s="11" t="s">
        <v>51</v>
      </c>
    </row>
    <row r="20" spans="1:6" ht="21" customHeight="1" x14ac:dyDescent="0.3">
      <c r="A20" s="11">
        <v>16</v>
      </c>
      <c r="B20" s="19" t="s">
        <v>26</v>
      </c>
      <c r="C20" s="11" t="s">
        <v>21</v>
      </c>
      <c r="D20" s="4" t="s">
        <v>656</v>
      </c>
      <c r="E20" s="5" t="s">
        <v>657</v>
      </c>
      <c r="F20" s="11" t="s">
        <v>46</v>
      </c>
    </row>
    <row r="21" spans="1:6" ht="21" customHeight="1" x14ac:dyDescent="0.3">
      <c r="A21" s="11">
        <v>17</v>
      </c>
      <c r="B21" s="19" t="s">
        <v>26</v>
      </c>
      <c r="C21" s="11" t="s">
        <v>21</v>
      </c>
      <c r="D21" s="4" t="s">
        <v>658</v>
      </c>
      <c r="E21" s="5" t="s">
        <v>659</v>
      </c>
      <c r="F21" s="11" t="s">
        <v>46</v>
      </c>
    </row>
    <row r="22" spans="1:6" ht="36" customHeight="1" x14ac:dyDescent="0.3">
      <c r="A22" s="11">
        <v>18</v>
      </c>
      <c r="B22" s="18" t="s">
        <v>31</v>
      </c>
      <c r="C22" s="11" t="s">
        <v>633</v>
      </c>
      <c r="D22" s="4" t="s">
        <v>660</v>
      </c>
      <c r="E22" s="5" t="s">
        <v>661</v>
      </c>
      <c r="F22" s="11" t="s">
        <v>46</v>
      </c>
    </row>
    <row r="23" spans="1:6" ht="21" customHeight="1" x14ac:dyDescent="0.3">
      <c r="A23" s="11">
        <v>19</v>
      </c>
      <c r="B23" s="18" t="s">
        <v>31</v>
      </c>
      <c r="C23" s="11" t="s">
        <v>633</v>
      </c>
      <c r="D23" s="4" t="s">
        <v>662</v>
      </c>
      <c r="E23" s="5" t="s">
        <v>663</v>
      </c>
      <c r="F23" s="11" t="s">
        <v>46</v>
      </c>
    </row>
    <row r="24" spans="1:6" ht="21" customHeight="1" x14ac:dyDescent="0.3">
      <c r="A24" s="11">
        <v>20</v>
      </c>
      <c r="B24" s="17" t="s">
        <v>21</v>
      </c>
      <c r="C24" s="11" t="s">
        <v>26</v>
      </c>
      <c r="D24" s="4" t="s">
        <v>664</v>
      </c>
      <c r="E24" s="5" t="s">
        <v>665</v>
      </c>
      <c r="F24" s="11" t="s">
        <v>46</v>
      </c>
    </row>
  </sheetData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9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96" customWidth="1"/>
    <col min="3" max="3" width="62" customWidth="1"/>
  </cols>
  <sheetData>
    <row r="1" spans="1:3" ht="21" x14ac:dyDescent="0.4">
      <c r="A1" s="1" t="s">
        <v>666</v>
      </c>
    </row>
    <row r="3" spans="1:3" ht="31.95" customHeight="1" x14ac:dyDescent="0.3">
      <c r="A3" s="6" t="s">
        <v>667</v>
      </c>
      <c r="B3" s="6" t="s">
        <v>105</v>
      </c>
      <c r="C3" s="6" t="s">
        <v>668</v>
      </c>
    </row>
    <row r="4" spans="1:3" ht="36" customHeight="1" x14ac:dyDescent="0.3">
      <c r="A4" s="4" t="s">
        <v>669</v>
      </c>
      <c r="B4" s="5" t="s">
        <v>670</v>
      </c>
      <c r="C4" s="5" t="s">
        <v>671</v>
      </c>
    </row>
    <row r="5" spans="1:3" ht="21" customHeight="1" x14ac:dyDescent="0.3">
      <c r="A5" s="4" t="s">
        <v>672</v>
      </c>
      <c r="B5" s="5" t="s">
        <v>673</v>
      </c>
      <c r="C5" s="5" t="s">
        <v>674</v>
      </c>
    </row>
    <row r="6" spans="1:3" ht="36" customHeight="1" x14ac:dyDescent="0.3">
      <c r="A6" s="4" t="s">
        <v>675</v>
      </c>
      <c r="B6" s="5" t="s">
        <v>676</v>
      </c>
      <c r="C6" s="5" t="s">
        <v>677</v>
      </c>
    </row>
    <row r="7" spans="1:3" ht="21" customHeight="1" x14ac:dyDescent="0.3">
      <c r="A7" s="4" t="s">
        <v>678</v>
      </c>
      <c r="B7" s="5" t="s">
        <v>679</v>
      </c>
      <c r="C7" s="5" t="s">
        <v>680</v>
      </c>
    </row>
    <row r="8" spans="1:3" ht="21" customHeight="1" x14ac:dyDescent="0.3">
      <c r="A8" s="4" t="s">
        <v>681</v>
      </c>
      <c r="B8" s="5" t="s">
        <v>682</v>
      </c>
      <c r="C8" s="5" t="s">
        <v>683</v>
      </c>
    </row>
    <row r="9" spans="1:3" ht="21" customHeight="1" x14ac:dyDescent="0.3">
      <c r="A9" s="4" t="s">
        <v>684</v>
      </c>
      <c r="B9" s="5" t="s">
        <v>685</v>
      </c>
      <c r="C9" s="5" t="s">
        <v>686</v>
      </c>
    </row>
    <row r="10" spans="1:3" ht="21" customHeight="1" x14ac:dyDescent="0.3">
      <c r="A10" s="4" t="s">
        <v>687</v>
      </c>
      <c r="B10" s="5" t="s">
        <v>688</v>
      </c>
      <c r="C10" s="5" t="s">
        <v>689</v>
      </c>
    </row>
    <row r="11" spans="1:3" ht="36" customHeight="1" x14ac:dyDescent="0.3">
      <c r="A11" s="4" t="s">
        <v>690</v>
      </c>
      <c r="B11" s="5" t="s">
        <v>691</v>
      </c>
      <c r="C11" s="5" t="s">
        <v>692</v>
      </c>
    </row>
    <row r="12" spans="1:3" ht="36" customHeight="1" x14ac:dyDescent="0.3">
      <c r="A12" s="4" t="s">
        <v>134</v>
      </c>
      <c r="B12" s="5" t="s">
        <v>693</v>
      </c>
      <c r="C12" s="5" t="s">
        <v>694</v>
      </c>
    </row>
    <row r="13" spans="1:3" ht="36" customHeight="1" x14ac:dyDescent="0.3">
      <c r="A13" s="4" t="s">
        <v>695</v>
      </c>
      <c r="B13" s="5" t="s">
        <v>696</v>
      </c>
      <c r="C13" s="5" t="s">
        <v>697</v>
      </c>
    </row>
    <row r="14" spans="1:3" ht="21" customHeight="1" x14ac:dyDescent="0.3">
      <c r="A14" s="4" t="s">
        <v>698</v>
      </c>
      <c r="B14" s="5" t="s">
        <v>699</v>
      </c>
      <c r="C14" s="5" t="s">
        <v>700</v>
      </c>
    </row>
    <row r="15" spans="1:3" ht="36" customHeight="1" x14ac:dyDescent="0.3">
      <c r="A15" s="4" t="s">
        <v>701</v>
      </c>
      <c r="B15" s="5" t="s">
        <v>702</v>
      </c>
      <c r="C15" s="5" t="s">
        <v>703</v>
      </c>
    </row>
    <row r="16" spans="1:3" ht="21" customHeight="1" x14ac:dyDescent="0.3">
      <c r="A16" s="4" t="s">
        <v>704</v>
      </c>
      <c r="B16" s="5" t="s">
        <v>705</v>
      </c>
      <c r="C16" s="5" t="s">
        <v>706</v>
      </c>
    </row>
    <row r="17" spans="1:3" ht="36" customHeight="1" x14ac:dyDescent="0.3">
      <c r="A17" s="4" t="s">
        <v>707</v>
      </c>
      <c r="B17" s="5" t="s">
        <v>708</v>
      </c>
      <c r="C17" s="5" t="s">
        <v>709</v>
      </c>
    </row>
    <row r="18" spans="1:3" ht="36" customHeight="1" x14ac:dyDescent="0.3">
      <c r="A18" s="4" t="s">
        <v>710</v>
      </c>
      <c r="B18" s="5" t="s">
        <v>711</v>
      </c>
      <c r="C18" s="5" t="s">
        <v>712</v>
      </c>
    </row>
    <row r="19" spans="1:3" ht="36" customHeight="1" x14ac:dyDescent="0.3">
      <c r="A19" s="4" t="s">
        <v>713</v>
      </c>
      <c r="B19" s="5" t="s">
        <v>714</v>
      </c>
      <c r="C19" s="5" t="s">
        <v>715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38" customWidth="1"/>
    <col min="3" max="3" width="90" customWidth="1"/>
    <col min="4" max="4" width="12" customWidth="1"/>
    <col min="5" max="7" width="10" customWidth="1"/>
  </cols>
  <sheetData>
    <row r="1" spans="1:7" ht="21" x14ac:dyDescent="0.4">
      <c r="A1" s="1" t="s">
        <v>716</v>
      </c>
    </row>
    <row r="3" spans="1:7" ht="31.95" customHeight="1" x14ac:dyDescent="0.3">
      <c r="A3" s="6" t="s">
        <v>216</v>
      </c>
      <c r="B3" s="6" t="s">
        <v>667</v>
      </c>
      <c r="C3" s="6" t="s">
        <v>717</v>
      </c>
      <c r="D3" s="6" t="s">
        <v>718</v>
      </c>
      <c r="E3" s="6" t="s">
        <v>21</v>
      </c>
      <c r="F3" s="6" t="s">
        <v>26</v>
      </c>
      <c r="G3" s="6" t="s">
        <v>31</v>
      </c>
    </row>
    <row r="4" spans="1:7" ht="36" customHeight="1" x14ac:dyDescent="0.3">
      <c r="A4" s="11">
        <v>1</v>
      </c>
      <c r="B4" s="4" t="s">
        <v>719</v>
      </c>
      <c r="C4" s="5" t="s">
        <v>720</v>
      </c>
      <c r="D4" s="11" t="s">
        <v>94</v>
      </c>
      <c r="E4" s="11" t="s">
        <v>721</v>
      </c>
      <c r="F4" s="11" t="s">
        <v>721</v>
      </c>
      <c r="G4" s="11" t="s">
        <v>721</v>
      </c>
    </row>
    <row r="5" spans="1:7" ht="36" customHeight="1" x14ac:dyDescent="0.3">
      <c r="A5" s="11">
        <v>2</v>
      </c>
      <c r="B5" s="4" t="s">
        <v>722</v>
      </c>
      <c r="C5" s="5" t="s">
        <v>723</v>
      </c>
      <c r="D5" s="11" t="s">
        <v>94</v>
      </c>
      <c r="E5" s="11" t="s">
        <v>721</v>
      </c>
      <c r="F5" s="11" t="s">
        <v>721</v>
      </c>
      <c r="G5" s="11" t="s">
        <v>721</v>
      </c>
    </row>
    <row r="6" spans="1:7" ht="36" customHeight="1" x14ac:dyDescent="0.3">
      <c r="A6" s="11">
        <v>3</v>
      </c>
      <c r="B6" s="4" t="s">
        <v>724</v>
      </c>
      <c r="C6" s="5" t="s">
        <v>725</v>
      </c>
      <c r="D6" s="11" t="s">
        <v>94</v>
      </c>
      <c r="E6" s="11" t="s">
        <v>721</v>
      </c>
      <c r="F6" s="11" t="s">
        <v>721</v>
      </c>
      <c r="G6" s="11" t="s">
        <v>721</v>
      </c>
    </row>
    <row r="7" spans="1:7" ht="36" customHeight="1" x14ac:dyDescent="0.3">
      <c r="A7" s="11">
        <v>4</v>
      </c>
      <c r="B7" s="4" t="s">
        <v>726</v>
      </c>
      <c r="C7" s="5" t="s">
        <v>727</v>
      </c>
      <c r="D7" s="11" t="s">
        <v>94</v>
      </c>
      <c r="E7" s="11" t="s">
        <v>721</v>
      </c>
      <c r="F7" s="11" t="s">
        <v>721</v>
      </c>
      <c r="G7" s="11" t="s">
        <v>721</v>
      </c>
    </row>
    <row r="8" spans="1:7" ht="21" customHeight="1" x14ac:dyDescent="0.3">
      <c r="A8" s="11">
        <v>5</v>
      </c>
      <c r="B8" s="4" t="s">
        <v>728</v>
      </c>
      <c r="C8" s="5" t="s">
        <v>729</v>
      </c>
      <c r="D8" s="11" t="s">
        <v>94</v>
      </c>
      <c r="E8" s="11" t="s">
        <v>721</v>
      </c>
      <c r="F8" s="11" t="s">
        <v>721</v>
      </c>
      <c r="G8" s="11" t="s">
        <v>721</v>
      </c>
    </row>
    <row r="9" spans="1:7" ht="21" customHeight="1" x14ac:dyDescent="0.3">
      <c r="A9" s="11">
        <v>6</v>
      </c>
      <c r="B9" s="4" t="s">
        <v>730</v>
      </c>
      <c r="C9" s="5" t="s">
        <v>731</v>
      </c>
      <c r="D9" s="11" t="s">
        <v>94</v>
      </c>
      <c r="E9" s="11" t="s">
        <v>721</v>
      </c>
      <c r="F9" s="11" t="s">
        <v>721</v>
      </c>
      <c r="G9" s="11" t="s">
        <v>721</v>
      </c>
    </row>
    <row r="10" spans="1:7" ht="36" customHeight="1" x14ac:dyDescent="0.3">
      <c r="A10" s="11">
        <v>7</v>
      </c>
      <c r="B10" s="4" t="s">
        <v>732</v>
      </c>
      <c r="C10" s="5" t="s">
        <v>733</v>
      </c>
      <c r="D10" s="11" t="s">
        <v>94</v>
      </c>
      <c r="E10" s="11" t="s">
        <v>721</v>
      </c>
      <c r="F10" s="11" t="s">
        <v>721</v>
      </c>
      <c r="G10" s="11" t="s">
        <v>721</v>
      </c>
    </row>
    <row r="11" spans="1:7" ht="21" customHeight="1" x14ac:dyDescent="0.3">
      <c r="A11" s="11">
        <v>8</v>
      </c>
      <c r="B11" s="4" t="s">
        <v>734</v>
      </c>
      <c r="C11" s="5" t="s">
        <v>735</v>
      </c>
      <c r="D11" s="11" t="s">
        <v>94</v>
      </c>
      <c r="E11" s="11" t="s">
        <v>721</v>
      </c>
      <c r="F11" s="11" t="s">
        <v>721</v>
      </c>
      <c r="G11" s="11" t="s">
        <v>721</v>
      </c>
    </row>
    <row r="12" spans="1:7" ht="21" customHeight="1" x14ac:dyDescent="0.3">
      <c r="A12" s="11">
        <v>9</v>
      </c>
      <c r="B12" s="4" t="s">
        <v>736</v>
      </c>
      <c r="C12" s="5" t="s">
        <v>737</v>
      </c>
      <c r="D12" s="11" t="s">
        <v>94</v>
      </c>
      <c r="E12" s="11" t="s">
        <v>721</v>
      </c>
      <c r="F12" s="11" t="s">
        <v>721</v>
      </c>
      <c r="G12" s="11" t="s">
        <v>721</v>
      </c>
    </row>
    <row r="13" spans="1:7" ht="21" customHeight="1" x14ac:dyDescent="0.3">
      <c r="A13" s="11">
        <v>10</v>
      </c>
      <c r="B13" s="4" t="s">
        <v>738</v>
      </c>
      <c r="C13" s="5" t="s">
        <v>739</v>
      </c>
      <c r="D13" s="11" t="s">
        <v>21</v>
      </c>
      <c r="E13" s="11" t="s">
        <v>721</v>
      </c>
      <c r="F13" s="11"/>
      <c r="G13" s="11"/>
    </row>
    <row r="14" spans="1:7" ht="21" customHeight="1" x14ac:dyDescent="0.3">
      <c r="A14" s="11">
        <v>11</v>
      </c>
      <c r="B14" s="4" t="s">
        <v>740</v>
      </c>
      <c r="C14" s="5" t="s">
        <v>741</v>
      </c>
      <c r="D14" s="11" t="s">
        <v>21</v>
      </c>
      <c r="E14" s="11" t="s">
        <v>721</v>
      </c>
      <c r="F14" s="11"/>
      <c r="G14" s="11"/>
    </row>
    <row r="16" spans="1:7" x14ac:dyDescent="0.3">
      <c r="B16" s="2" t="s">
        <v>742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quan</vt:lpstr>
      <vt:lpstr>Công việc theo người</vt:lpstr>
      <vt:lpstr>Chức năng</vt:lpstr>
      <vt:lpstr>Ràng buộc</vt:lpstr>
      <vt:lpstr>Màn hình</vt:lpstr>
      <vt:lpstr>Entity và CSDL</vt:lpstr>
      <vt:lpstr>Điểm ghép nối</vt:lpstr>
      <vt:lpstr>Quy ước code</vt:lpstr>
      <vt:lpstr>Thiết lập môi trường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Chí Hậu</cp:lastModifiedBy>
  <dcterms:created xsi:type="dcterms:W3CDTF">2026-10-06T06:48:29Z</dcterms:created>
  <dcterms:modified xsi:type="dcterms:W3CDTF">2026-10-06T06:48:45Z</dcterms:modified>
</cp:coreProperties>
</file>