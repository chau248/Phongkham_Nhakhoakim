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ongkham_Nhakhoakim\tai_lieu\thiet_ke\"/>
    </mc:Choice>
  </mc:AlternateContent>
  <xr:revisionPtr revIDLastSave="0" documentId="13_ncr:1_{DC51386A-3F08-448A-84BD-48DD63BB8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 hướng đối tượng" sheetId="1" r:id="rId1"/>
    <sheet name="Chi tiết chức năng" sheetId="2" r:id="rId2"/>
  </sheets>
  <definedNames>
    <definedName name="_xlnm._FilterDatabase" localSheetId="1" hidden="1">'Chi tiết chức năng'!$A$4:$L$28</definedName>
  </definedNames>
  <calcPr calcId="191029"/>
</workbook>
</file>

<file path=xl/calcChain.xml><?xml version="1.0" encoding="utf-8"?>
<calcChain xmlns="http://schemas.openxmlformats.org/spreadsheetml/2006/main">
  <c r="E44" i="2" l="1"/>
  <c r="E43" i="2"/>
  <c r="E42" i="2"/>
  <c r="E41" i="2"/>
  <c r="E40" i="2"/>
  <c r="E39" i="2"/>
  <c r="E38" i="2"/>
  <c r="E37" i="2"/>
  <c r="E36" i="2"/>
  <c r="E34" i="2"/>
  <c r="E33" i="2"/>
  <c r="E35" i="2" s="1"/>
  <c r="E32" i="2"/>
  <c r="E31" i="2"/>
</calcChain>
</file>

<file path=xl/sharedStrings.xml><?xml version="1.0" encoding="utf-8"?>
<sst xmlns="http://schemas.openxmlformats.org/spreadsheetml/2006/main" count="276" uniqueCount="133">
  <si>
    <t>MENU HƯỚNG ĐỐI TƯỢNG – CHƯƠNG TRÌNH QUẢN LÝ PHÒNG KHÁM NHA KHOA KIM</t>
  </si>
  <si>
    <t>Mỗi cột là một menu ứng với một đối tượng; các mục bên dưới là chức năng của đối tượng đó. Khớp với menu trong chương trình (chuong_trinh/src/nhakhoakim/DanhSachChucNang.java).</t>
  </si>
  <si>
    <t>Bệnh nhân</t>
  </si>
  <si>
    <t>Lịch hẹn</t>
  </si>
  <si>
    <t>Lượt khám</t>
  </si>
  <si>
    <t>Hóa đơn</t>
  </si>
  <si>
    <t>Dịch vụ</t>
  </si>
  <si>
    <t>Nhân viên</t>
  </si>
  <si>
    <t>Tài khoản</t>
  </si>
  <si>
    <t>Lớp: BenhNhan, HoSoBenhAn, LieuTrinh</t>
  </si>
  <si>
    <t>Lớp: LichHen</t>
  </si>
  <si>
    <t>Lớp: LuotKham, RangDieuTri, LichHen, DungCu</t>
  </si>
  <si>
    <t>Lớp: HoaDon, ChiTietHoaDon</t>
  </si>
  <si>
    <t>Lớp: DichVu</t>
  </si>
  <si>
    <t>Lớp: NhanVien, CaTruc</t>
  </si>
  <si>
    <t>Lớp: TaiKhoan</t>
  </si>
  <si>
    <t>Tìm kiếm bệnh nhân</t>
  </si>
  <si>
    <t>Xem lịch hẹn</t>
  </si>
  <si>
    <t>Khám &amp; ghi nhận điều trị</t>
  </si>
  <si>
    <t>Danh sách chờ thanh toán</t>
  </si>
  <si>
    <t>Xem danh mục dịch vụ &amp; giá</t>
  </si>
  <si>
    <t>Cập nhật hồ sơ nhân viên</t>
  </si>
  <si>
    <t>Đăng nhập / Đăng xuất</t>
  </si>
  <si>
    <t>Thêm / cập nhật hồ sơ bệnh nhân</t>
  </si>
  <si>
    <t>Đặt lịch hẹn</t>
  </si>
  <si>
    <t>Sơ đồ răng điều trị</t>
  </si>
  <si>
    <t>Lập hóa đơn</t>
  </si>
  <si>
    <t>Thêm / sửa dịch vụ</t>
  </si>
  <si>
    <t>Phân công ca trực</t>
  </si>
  <si>
    <t>Tạo tài khoản &amp; gán vai trò</t>
  </si>
  <si>
    <t>Xem hồ sơ bệnh án</t>
  </si>
  <si>
    <t>Dời / hủy lịch hẹn</t>
  </si>
  <si>
    <t>Kê đơn thuốc</t>
  </si>
  <si>
    <t>Thanh toán &amp; in hóa đơn</t>
  </si>
  <si>
    <t>Cập nhật tiền sử &amp; dị ứng</t>
  </si>
  <si>
    <t>Xác nhận lịch hẹn</t>
  </si>
  <si>
    <t>Chỉ định tái khám</t>
  </si>
  <si>
    <t>Xem liệu trình đang thực hiện</t>
  </si>
  <si>
    <t>Xem lịch làm việc</t>
  </si>
  <si>
    <t>Chuẩn bị dụng cụ theo dịch vụ</t>
  </si>
  <si>
    <t>Chú thích</t>
  </si>
  <si>
    <t>Người phụ trách: Hậu</t>
  </si>
  <si>
    <t>Người phụ trách: Trường</t>
  </si>
  <si>
    <t>Người phụ trách: Tâm</t>
  </si>
  <si>
    <t>Phạm vi: chỉ các chức năng lõi (24 chức năng, 7 menu) làm trong tối đa 4 tuần. Chức năng bổ sung/mở rộng (voucher, vật tư, báo cáo, nhật ký hệ thống, ...) để vào hướng phát triển.</t>
  </si>
  <si>
    <t>Phân công theo README nhóm (Hậu: Nha sĩ + Y tá; Trường: Lễ tân; Tâm: Quản lý + nền tảng). Chi tiết xem sheet 'Chi tiết chức năng' và KeHoach_PhanCong_Code.xlsx.</t>
  </si>
  <si>
    <t>CHI TIẾT CHỨC NĂNG THEO NHÓM ĐỐI TƯỢNG</t>
  </si>
  <si>
    <t>Mỗi dòng là một chức năng của menu (đều là chức năng lõi). Vai trò dùng lấy từ DanhSachChucNang.java.</t>
  </si>
  <si>
    <t>STT</t>
  </si>
  <si>
    <t>Nhóm (menu)</t>
  </si>
  <si>
    <t>Lớp đối tượng</t>
  </si>
  <si>
    <t>Chức năng</t>
  </si>
  <si>
    <t>Loại thao tác</t>
  </si>
  <si>
    <t>Use case</t>
  </si>
  <si>
    <t>Nha sĩ</t>
  </si>
  <si>
    <t>Y tá</t>
  </si>
  <si>
    <t>Lễ tân</t>
  </si>
  <si>
    <t>Quản lý</t>
  </si>
  <si>
    <t>Người phụ trách</t>
  </si>
  <si>
    <t>Ghi chú</t>
  </si>
  <si>
    <t>BenhNhan, HoSoBenhAn</t>
  </si>
  <si>
    <t>Tra cứu</t>
  </si>
  <si>
    <t>UC003, UC005</t>
  </si>
  <si>
    <t>✓</t>
  </si>
  <si>
    <t>Trường</t>
  </si>
  <si>
    <t>Tìm theo mã, họ tên, số điện thoại</t>
  </si>
  <si>
    <t>Lưu trữ</t>
  </si>
  <si>
    <t>UC003</t>
  </si>
  <si>
    <t>Tạo mới và sửa; Y tá khai báo y tế/dị ứng ban đầu</t>
  </si>
  <si>
    <t>UC005</t>
  </si>
  <si>
    <t>Hậu</t>
  </si>
  <si>
    <t>Cảnh báo dị ứng hiển thị nổi bật; lịch sử khám</t>
  </si>
  <si>
    <t>HoSoBenhAn</t>
  </si>
  <si>
    <t>Thay đổi phải ghi nhật ký hệ thống</t>
  </si>
  <si>
    <t>LieuTrinh</t>
  </si>
  <si>
    <t>Hiển thị trong hồ sơ bệnh án</t>
  </si>
  <si>
    <t>LichHen</t>
  </si>
  <si>
    <t>UC004</t>
  </si>
  <si>
    <t>Theo ngày/tuần, thấy khung giờ trống</t>
  </si>
  <si>
    <t>Kiểm tra trùng lịch và thời gian dịch vụ</t>
  </si>
  <si>
    <t>Hủy phải có lý do</t>
  </si>
  <si>
    <t>Từ Chờ xác nhận sang Đã xác nhận, kể cả lịch tái khám do Nha sĩ tạo</t>
  </si>
  <si>
    <t>UC002</t>
  </si>
  <si>
    <t>Chỉ xem; Nha sĩ thấy ca khám, Y tá thấy ca hỗ trợ</t>
  </si>
  <si>
    <t>LuotKham</t>
  </si>
  <si>
    <t>Lý do khám, chẩn đoán, hướng điều trị, dịch vụ thực hiện</t>
  </si>
  <si>
    <t>RangDieuTri</t>
  </si>
  <si>
    <t>32 răng theo FDI; răng đã nhổ chỉ chọn dịch vụ implant/cầu răng</t>
  </si>
  <si>
    <t>Không cho kê thuốc trùng cảnh báo dị ứng</t>
  </si>
  <si>
    <t>LuotKham, LichHen</t>
  </si>
  <si>
    <t>Tạo lịch hẹn trạng thái Chờ xác nhận</t>
  </si>
  <si>
    <t>DungCu</t>
  </si>
  <si>
    <t>UC006</t>
  </si>
  <si>
    <t>Xác nhận chuẩn bị theo loại dịch vụ của ca khám</t>
  </si>
  <si>
    <t>HoaDon</t>
  </si>
  <si>
    <t>UC007</t>
  </si>
  <si>
    <t>Các lượt khám đã hoàn tất, chưa lập hóa đơn</t>
  </si>
  <si>
    <t>HoaDon, ChiTietHoaDon</t>
  </si>
  <si>
    <t>Tính toán</t>
  </si>
  <si>
    <t>Tổng tiền = dịch vụ - giảm giá + thuế VAT</t>
  </si>
  <si>
    <t>Kết xuất</t>
  </si>
  <si>
    <t>Tiền mặt / Chuyển khoản / Thẻ / Ví điện tử</t>
  </si>
  <si>
    <t>DichVu</t>
  </si>
  <si>
    <t>UC005, UC009</t>
  </si>
  <si>
    <t>Tâm</t>
  </si>
  <si>
    <t>Bảng giá và thời gian dự kiến; Nha sĩ tra khi khám, chỉ xem không sửa</t>
  </si>
  <si>
    <t>UC009</t>
  </si>
  <si>
    <t>Mọi thay đổi giá ghi nhật ký hệ thống</t>
  </si>
  <si>
    <t>NhanVien</t>
  </si>
  <si>
    <t>UC008</t>
  </si>
  <si>
    <t>Gồm chứng chỉ hành nghề và ngày hết hạn</t>
  </si>
  <si>
    <t>NhanVien, CaTruc</t>
  </si>
  <si>
    <t>Lập bảng phân công theo tuần</t>
  </si>
  <si>
    <t>TaiKhoan</t>
  </si>
  <si>
    <t>Khác</t>
  </si>
  <si>
    <t>UC001</t>
  </si>
  <si>
    <t>Khóa tài khoản sau 5 lần sai; điều hướng theo vai trò</t>
  </si>
  <si>
    <t>Mỗi tài khoản gắn đúng 1 nhân viên</t>
  </si>
  <si>
    <t>TỔNG HỢP</t>
  </si>
  <si>
    <t>Tổng số chức năng</t>
  </si>
  <si>
    <t>Hậu phụ trách</t>
  </si>
  <si>
    <t>Trường phụ trách</t>
  </si>
  <si>
    <t>Tâm phụ trách</t>
  </si>
  <si>
    <t>Kiểm tra tổng 3 người</t>
  </si>
  <si>
    <t>Loại: Lưu trữ</t>
  </si>
  <si>
    <t>Loại: Tra cứu</t>
  </si>
  <si>
    <t>Loại: Tính toán</t>
  </si>
  <si>
    <t>Loại: Kết xuất</t>
  </si>
  <si>
    <t>Loại: Khác</t>
  </si>
  <si>
    <t>Vai trò Nha sĩ dùng</t>
  </si>
  <si>
    <t>Vai trò Y tá dùng</t>
  </si>
  <si>
    <t>Vai trò Lễ tân dùng</t>
  </si>
  <si>
    <t>Vai trò Quản lý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</si>
</sst>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i/>
      <sz val="9"/>
      <color rgb="FF666666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7" width="30" customWidth="1"/>
  </cols>
  <sheetData>
    <row r="1" spans="1:7" ht="21" x14ac:dyDescent="0.4">
      <c r="A1" s="1" t="s">
        <v>0</v>
      </c>
    </row>
    <row r="2" spans="1:7" x14ac:dyDescent="0.3">
      <c r="A2" s="2" t="s">
        <v>1</v>
      </c>
    </row>
    <row r="4" spans="1:7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31.95" customHeight="1" x14ac:dyDescent="0.3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ht="36" customHeight="1" x14ac:dyDescent="0.3">
      <c r="A6" s="5" t="s">
        <v>16</v>
      </c>
      <c r="B6" s="5" t="s">
        <v>17</v>
      </c>
      <c r="C6" s="6" t="s">
        <v>18</v>
      </c>
      <c r="D6" s="5" t="s">
        <v>19</v>
      </c>
      <c r="E6" s="7" t="s">
        <v>20</v>
      </c>
      <c r="F6" s="7" t="s">
        <v>21</v>
      </c>
      <c r="G6" s="7" t="s">
        <v>22</v>
      </c>
    </row>
    <row r="7" spans="1:7" ht="36" customHeight="1" x14ac:dyDescent="0.3">
      <c r="A7" s="5" t="s">
        <v>23</v>
      </c>
      <c r="B7" s="5" t="s">
        <v>24</v>
      </c>
      <c r="C7" s="6" t="s">
        <v>25</v>
      </c>
      <c r="D7" s="5" t="s">
        <v>26</v>
      </c>
      <c r="E7" s="7" t="s">
        <v>27</v>
      </c>
      <c r="F7" s="7" t="s">
        <v>28</v>
      </c>
      <c r="G7" s="7" t="s">
        <v>29</v>
      </c>
    </row>
    <row r="8" spans="1:7" ht="36" customHeight="1" x14ac:dyDescent="0.3">
      <c r="A8" s="6" t="s">
        <v>30</v>
      </c>
      <c r="B8" s="5" t="s">
        <v>31</v>
      </c>
      <c r="C8" s="6" t="s">
        <v>32</v>
      </c>
      <c r="D8" s="5" t="s">
        <v>33</v>
      </c>
      <c r="E8" s="8"/>
      <c r="F8" s="8"/>
      <c r="G8" s="8"/>
    </row>
    <row r="9" spans="1:7" ht="36" customHeight="1" x14ac:dyDescent="0.3">
      <c r="A9" s="6" t="s">
        <v>34</v>
      </c>
      <c r="B9" s="5" t="s">
        <v>35</v>
      </c>
      <c r="C9" s="6" t="s">
        <v>36</v>
      </c>
      <c r="D9" s="8"/>
      <c r="E9" s="8"/>
      <c r="F9" s="8"/>
      <c r="G9" s="8"/>
    </row>
    <row r="10" spans="1:7" ht="36" customHeight="1" x14ac:dyDescent="0.3">
      <c r="A10" s="6" t="s">
        <v>37</v>
      </c>
      <c r="B10" s="6" t="s">
        <v>38</v>
      </c>
      <c r="C10" s="6" t="s">
        <v>39</v>
      </c>
      <c r="D10" s="8"/>
      <c r="E10" s="8"/>
      <c r="F10" s="8"/>
      <c r="G10" s="8"/>
    </row>
    <row r="12" spans="1:7" x14ac:dyDescent="0.3">
      <c r="A12" s="9" t="s">
        <v>40</v>
      </c>
    </row>
    <row r="13" spans="1:7" x14ac:dyDescent="0.3">
      <c r="A13" s="10" t="s">
        <v>41</v>
      </c>
      <c r="B13" s="11" t="s">
        <v>42</v>
      </c>
      <c r="C13" s="12" t="s">
        <v>43</v>
      </c>
    </row>
    <row r="14" spans="1:7" x14ac:dyDescent="0.3">
      <c r="A14" s="2" t="s">
        <v>44</v>
      </c>
    </row>
    <row r="15" spans="1:7" x14ac:dyDescent="0.3">
      <c r="A15" s="2" t="s">
        <v>45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26" customWidth="1"/>
    <col min="4" max="4" width="42" customWidth="1"/>
    <col min="5" max="5" width="13" customWidth="1"/>
    <col min="6" max="6" width="16" customWidth="1"/>
    <col min="7" max="9" width="9" customWidth="1"/>
    <col min="10" max="10" width="10" customWidth="1"/>
    <col min="11" max="11" width="16" customWidth="1"/>
    <col min="12" max="12" width="62" customWidth="1"/>
  </cols>
  <sheetData>
    <row r="1" spans="1:12" ht="21" x14ac:dyDescent="0.4">
      <c r="A1" s="1" t="s">
        <v>46</v>
      </c>
    </row>
    <row r="2" spans="1:12" x14ac:dyDescent="0.3">
      <c r="A2" s="2" t="s">
        <v>47</v>
      </c>
    </row>
    <row r="4" spans="1:12" ht="34.049999999999997" customHeight="1" x14ac:dyDescent="0.3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</row>
    <row r="5" spans="1:12" ht="22.05" customHeight="1" x14ac:dyDescent="0.3">
      <c r="A5" s="13">
        <v>1</v>
      </c>
      <c r="B5" s="14" t="s">
        <v>2</v>
      </c>
      <c r="C5" s="14" t="s">
        <v>60</v>
      </c>
      <c r="D5" s="15" t="s">
        <v>16</v>
      </c>
      <c r="E5" s="13" t="s">
        <v>61</v>
      </c>
      <c r="F5" s="13" t="s">
        <v>62</v>
      </c>
      <c r="G5" s="13" t="s">
        <v>63</v>
      </c>
      <c r="H5" s="13"/>
      <c r="I5" s="13" t="s">
        <v>63</v>
      </c>
      <c r="J5" s="13"/>
      <c r="K5" s="16" t="s">
        <v>64</v>
      </c>
      <c r="L5" s="14" t="s">
        <v>65</v>
      </c>
    </row>
    <row r="6" spans="1:12" ht="22.05" customHeight="1" x14ac:dyDescent="0.3">
      <c r="A6" s="13">
        <v>2</v>
      </c>
      <c r="B6" s="14" t="s">
        <v>2</v>
      </c>
      <c r="C6" s="14" t="s">
        <v>60</v>
      </c>
      <c r="D6" s="15" t="s">
        <v>23</v>
      </c>
      <c r="E6" s="13" t="s">
        <v>66</v>
      </c>
      <c r="F6" s="13" t="s">
        <v>67</v>
      </c>
      <c r="G6" s="13"/>
      <c r="H6" s="13" t="s">
        <v>63</v>
      </c>
      <c r="I6" s="13" t="s">
        <v>63</v>
      </c>
      <c r="J6" s="13"/>
      <c r="K6" s="16" t="s">
        <v>64</v>
      </c>
      <c r="L6" s="14" t="s">
        <v>68</v>
      </c>
    </row>
    <row r="7" spans="1:12" ht="22.05" customHeight="1" x14ac:dyDescent="0.3">
      <c r="A7" s="13">
        <v>3</v>
      </c>
      <c r="B7" s="14" t="s">
        <v>2</v>
      </c>
      <c r="C7" s="14" t="s">
        <v>60</v>
      </c>
      <c r="D7" s="15" t="s">
        <v>30</v>
      </c>
      <c r="E7" s="13" t="s">
        <v>61</v>
      </c>
      <c r="F7" s="13" t="s">
        <v>69</v>
      </c>
      <c r="G7" s="13" t="s">
        <v>63</v>
      </c>
      <c r="H7" s="13"/>
      <c r="I7" s="13"/>
      <c r="J7" s="13"/>
      <c r="K7" s="17" t="s">
        <v>70</v>
      </c>
      <c r="L7" s="14" t="s">
        <v>71</v>
      </c>
    </row>
    <row r="8" spans="1:12" ht="22.05" customHeight="1" x14ac:dyDescent="0.3">
      <c r="A8" s="13">
        <v>4</v>
      </c>
      <c r="B8" s="14" t="s">
        <v>2</v>
      </c>
      <c r="C8" s="14" t="s">
        <v>72</v>
      </c>
      <c r="D8" s="15" t="s">
        <v>34</v>
      </c>
      <c r="E8" s="13" t="s">
        <v>66</v>
      </c>
      <c r="F8" s="13" t="s">
        <v>69</v>
      </c>
      <c r="G8" s="13" t="s">
        <v>63</v>
      </c>
      <c r="H8" s="13" t="s">
        <v>63</v>
      </c>
      <c r="I8" s="13"/>
      <c r="J8" s="13"/>
      <c r="K8" s="17" t="s">
        <v>70</v>
      </c>
      <c r="L8" s="14" t="s">
        <v>73</v>
      </c>
    </row>
    <row r="9" spans="1:12" ht="22.05" customHeight="1" x14ac:dyDescent="0.3">
      <c r="A9" s="13">
        <v>5</v>
      </c>
      <c r="B9" s="14" t="s">
        <v>2</v>
      </c>
      <c r="C9" s="14" t="s">
        <v>74</v>
      </c>
      <c r="D9" s="15" t="s">
        <v>37</v>
      </c>
      <c r="E9" s="13" t="s">
        <v>61</v>
      </c>
      <c r="F9" s="13" t="s">
        <v>69</v>
      </c>
      <c r="G9" s="13" t="s">
        <v>63</v>
      </c>
      <c r="H9" s="13"/>
      <c r="I9" s="13"/>
      <c r="J9" s="13"/>
      <c r="K9" s="17" t="s">
        <v>70</v>
      </c>
      <c r="L9" s="14" t="s">
        <v>75</v>
      </c>
    </row>
    <row r="10" spans="1:12" ht="22.05" customHeight="1" x14ac:dyDescent="0.3">
      <c r="A10" s="13">
        <v>6</v>
      </c>
      <c r="B10" s="14" t="s">
        <v>3</v>
      </c>
      <c r="C10" s="14" t="s">
        <v>76</v>
      </c>
      <c r="D10" s="15" t="s">
        <v>17</v>
      </c>
      <c r="E10" s="13" t="s">
        <v>61</v>
      </c>
      <c r="F10" s="13" t="s">
        <v>77</v>
      </c>
      <c r="G10" s="13"/>
      <c r="H10" s="13"/>
      <c r="I10" s="13" t="s">
        <v>63</v>
      </c>
      <c r="J10" s="13"/>
      <c r="K10" s="16" t="s">
        <v>64</v>
      </c>
      <c r="L10" s="14" t="s">
        <v>78</v>
      </c>
    </row>
    <row r="11" spans="1:12" ht="22.05" customHeight="1" x14ac:dyDescent="0.3">
      <c r="A11" s="13">
        <v>7</v>
      </c>
      <c r="B11" s="14" t="s">
        <v>3</v>
      </c>
      <c r="C11" s="14" t="s">
        <v>76</v>
      </c>
      <c r="D11" s="15" t="s">
        <v>24</v>
      </c>
      <c r="E11" s="13" t="s">
        <v>66</v>
      </c>
      <c r="F11" s="13" t="s">
        <v>77</v>
      </c>
      <c r="G11" s="13"/>
      <c r="H11" s="13"/>
      <c r="I11" s="13" t="s">
        <v>63</v>
      </c>
      <c r="J11" s="13"/>
      <c r="K11" s="16" t="s">
        <v>64</v>
      </c>
      <c r="L11" s="14" t="s">
        <v>79</v>
      </c>
    </row>
    <row r="12" spans="1:12" ht="22.05" customHeight="1" x14ac:dyDescent="0.3">
      <c r="A12" s="13">
        <v>8</v>
      </c>
      <c r="B12" s="14" t="s">
        <v>3</v>
      </c>
      <c r="C12" s="14" t="s">
        <v>76</v>
      </c>
      <c r="D12" s="15" t="s">
        <v>31</v>
      </c>
      <c r="E12" s="13" t="s">
        <v>66</v>
      </c>
      <c r="F12" s="13" t="s">
        <v>77</v>
      </c>
      <c r="G12" s="13"/>
      <c r="H12" s="13"/>
      <c r="I12" s="13" t="s">
        <v>63</v>
      </c>
      <c r="J12" s="13"/>
      <c r="K12" s="16" t="s">
        <v>64</v>
      </c>
      <c r="L12" s="14" t="s">
        <v>80</v>
      </c>
    </row>
    <row r="13" spans="1:12" ht="37.950000000000003" customHeight="1" x14ac:dyDescent="0.3">
      <c r="A13" s="13">
        <v>9</v>
      </c>
      <c r="B13" s="14" t="s">
        <v>3</v>
      </c>
      <c r="C13" s="14" t="s">
        <v>76</v>
      </c>
      <c r="D13" s="15" t="s">
        <v>35</v>
      </c>
      <c r="E13" s="13" t="s">
        <v>66</v>
      </c>
      <c r="F13" s="13" t="s">
        <v>77</v>
      </c>
      <c r="G13" s="13"/>
      <c r="H13" s="13"/>
      <c r="I13" s="13" t="s">
        <v>63</v>
      </c>
      <c r="J13" s="13"/>
      <c r="K13" s="16" t="s">
        <v>64</v>
      </c>
      <c r="L13" s="14" t="s">
        <v>81</v>
      </c>
    </row>
    <row r="14" spans="1:12" ht="22.05" customHeight="1" x14ac:dyDescent="0.3">
      <c r="A14" s="13">
        <v>10</v>
      </c>
      <c r="B14" s="14" t="s">
        <v>3</v>
      </c>
      <c r="C14" s="14" t="s">
        <v>76</v>
      </c>
      <c r="D14" s="15" t="s">
        <v>38</v>
      </c>
      <c r="E14" s="13" t="s">
        <v>61</v>
      </c>
      <c r="F14" s="13" t="s">
        <v>82</v>
      </c>
      <c r="G14" s="13" t="s">
        <v>63</v>
      </c>
      <c r="H14" s="13" t="s">
        <v>63</v>
      </c>
      <c r="I14" s="13"/>
      <c r="J14" s="13"/>
      <c r="K14" s="17" t="s">
        <v>70</v>
      </c>
      <c r="L14" s="14" t="s">
        <v>83</v>
      </c>
    </row>
    <row r="15" spans="1:12" ht="22.05" customHeight="1" x14ac:dyDescent="0.3">
      <c r="A15" s="13">
        <v>11</v>
      </c>
      <c r="B15" s="14" t="s">
        <v>4</v>
      </c>
      <c r="C15" s="14" t="s">
        <v>84</v>
      </c>
      <c r="D15" s="15" t="s">
        <v>18</v>
      </c>
      <c r="E15" s="13" t="s">
        <v>66</v>
      </c>
      <c r="F15" s="13" t="s">
        <v>69</v>
      </c>
      <c r="G15" s="13" t="s">
        <v>63</v>
      </c>
      <c r="H15" s="13"/>
      <c r="I15" s="13"/>
      <c r="J15" s="13"/>
      <c r="K15" s="17" t="s">
        <v>70</v>
      </c>
      <c r="L15" s="14" t="s">
        <v>85</v>
      </c>
    </row>
    <row r="16" spans="1:12" ht="37.950000000000003" customHeight="1" x14ac:dyDescent="0.3">
      <c r="A16" s="13">
        <v>12</v>
      </c>
      <c r="B16" s="14" t="s">
        <v>4</v>
      </c>
      <c r="C16" s="14" t="s">
        <v>86</v>
      </c>
      <c r="D16" s="15" t="s">
        <v>25</v>
      </c>
      <c r="E16" s="13" t="s">
        <v>66</v>
      </c>
      <c r="F16" s="13" t="s">
        <v>69</v>
      </c>
      <c r="G16" s="13" t="s">
        <v>63</v>
      </c>
      <c r="H16" s="13"/>
      <c r="I16" s="13"/>
      <c r="J16" s="13"/>
      <c r="K16" s="17" t="s">
        <v>70</v>
      </c>
      <c r="L16" s="14" t="s">
        <v>87</v>
      </c>
    </row>
    <row r="17" spans="1:12" ht="22.05" customHeight="1" x14ac:dyDescent="0.3">
      <c r="A17" s="13">
        <v>13</v>
      </c>
      <c r="B17" s="14" t="s">
        <v>4</v>
      </c>
      <c r="C17" s="14" t="s">
        <v>84</v>
      </c>
      <c r="D17" s="15" t="s">
        <v>32</v>
      </c>
      <c r="E17" s="13" t="s">
        <v>66</v>
      </c>
      <c r="F17" s="13" t="s">
        <v>69</v>
      </c>
      <c r="G17" s="13" t="s">
        <v>63</v>
      </c>
      <c r="H17" s="13"/>
      <c r="I17" s="13"/>
      <c r="J17" s="13"/>
      <c r="K17" s="17" t="s">
        <v>70</v>
      </c>
      <c r="L17" s="14" t="s">
        <v>88</v>
      </c>
    </row>
    <row r="18" spans="1:12" ht="22.05" customHeight="1" x14ac:dyDescent="0.3">
      <c r="A18" s="13">
        <v>14</v>
      </c>
      <c r="B18" s="14" t="s">
        <v>4</v>
      </c>
      <c r="C18" s="14" t="s">
        <v>89</v>
      </c>
      <c r="D18" s="15" t="s">
        <v>36</v>
      </c>
      <c r="E18" s="13" t="s">
        <v>66</v>
      </c>
      <c r="F18" s="13" t="s">
        <v>69</v>
      </c>
      <c r="G18" s="13" t="s">
        <v>63</v>
      </c>
      <c r="H18" s="13"/>
      <c r="I18" s="13"/>
      <c r="J18" s="13"/>
      <c r="K18" s="17" t="s">
        <v>70</v>
      </c>
      <c r="L18" s="14" t="s">
        <v>90</v>
      </c>
    </row>
    <row r="19" spans="1:12" ht="22.05" customHeight="1" x14ac:dyDescent="0.3">
      <c r="A19" s="13">
        <v>15</v>
      </c>
      <c r="B19" s="14" t="s">
        <v>4</v>
      </c>
      <c r="C19" s="14" t="s">
        <v>91</v>
      </c>
      <c r="D19" s="15" t="s">
        <v>39</v>
      </c>
      <c r="E19" s="13" t="s">
        <v>66</v>
      </c>
      <c r="F19" s="13" t="s">
        <v>92</v>
      </c>
      <c r="G19" s="13"/>
      <c r="H19" s="13" t="s">
        <v>63</v>
      </c>
      <c r="I19" s="13"/>
      <c r="J19" s="13"/>
      <c r="K19" s="17" t="s">
        <v>70</v>
      </c>
      <c r="L19" s="14" t="s">
        <v>93</v>
      </c>
    </row>
    <row r="20" spans="1:12" ht="22.05" customHeight="1" x14ac:dyDescent="0.3">
      <c r="A20" s="13">
        <v>16</v>
      </c>
      <c r="B20" s="14" t="s">
        <v>5</v>
      </c>
      <c r="C20" s="14" t="s">
        <v>94</v>
      </c>
      <c r="D20" s="15" t="s">
        <v>19</v>
      </c>
      <c r="E20" s="13" t="s">
        <v>61</v>
      </c>
      <c r="F20" s="13" t="s">
        <v>95</v>
      </c>
      <c r="G20" s="13"/>
      <c r="H20" s="13"/>
      <c r="I20" s="13" t="s">
        <v>63</v>
      </c>
      <c r="J20" s="13"/>
      <c r="K20" s="16" t="s">
        <v>64</v>
      </c>
      <c r="L20" s="14" t="s">
        <v>96</v>
      </c>
    </row>
    <row r="21" spans="1:12" ht="22.05" customHeight="1" x14ac:dyDescent="0.3">
      <c r="A21" s="13">
        <v>17</v>
      </c>
      <c r="B21" s="14" t="s">
        <v>5</v>
      </c>
      <c r="C21" s="14" t="s">
        <v>97</v>
      </c>
      <c r="D21" s="15" t="s">
        <v>26</v>
      </c>
      <c r="E21" s="13" t="s">
        <v>98</v>
      </c>
      <c r="F21" s="13" t="s">
        <v>95</v>
      </c>
      <c r="G21" s="13"/>
      <c r="H21" s="13"/>
      <c r="I21" s="13" t="s">
        <v>63</v>
      </c>
      <c r="J21" s="13"/>
      <c r="K21" s="16" t="s">
        <v>64</v>
      </c>
      <c r="L21" s="14" t="s">
        <v>99</v>
      </c>
    </row>
    <row r="22" spans="1:12" ht="22.05" customHeight="1" x14ac:dyDescent="0.3">
      <c r="A22" s="13">
        <v>18</v>
      </c>
      <c r="B22" s="14" t="s">
        <v>5</v>
      </c>
      <c r="C22" s="14" t="s">
        <v>94</v>
      </c>
      <c r="D22" s="15" t="s">
        <v>33</v>
      </c>
      <c r="E22" s="13" t="s">
        <v>100</v>
      </c>
      <c r="F22" s="13" t="s">
        <v>95</v>
      </c>
      <c r="G22" s="13"/>
      <c r="H22" s="13"/>
      <c r="I22" s="13" t="s">
        <v>63</v>
      </c>
      <c r="J22" s="13"/>
      <c r="K22" s="16" t="s">
        <v>64</v>
      </c>
      <c r="L22" s="14" t="s">
        <v>101</v>
      </c>
    </row>
    <row r="23" spans="1:12" ht="37.950000000000003" customHeight="1" x14ac:dyDescent="0.3">
      <c r="A23" s="13">
        <v>19</v>
      </c>
      <c r="B23" s="14" t="s">
        <v>6</v>
      </c>
      <c r="C23" s="14" t="s">
        <v>102</v>
      </c>
      <c r="D23" s="15" t="s">
        <v>20</v>
      </c>
      <c r="E23" s="13" t="s">
        <v>61</v>
      </c>
      <c r="F23" s="13" t="s">
        <v>103</v>
      </c>
      <c r="G23" s="13" t="s">
        <v>63</v>
      </c>
      <c r="H23" s="13"/>
      <c r="I23" s="13" t="s">
        <v>63</v>
      </c>
      <c r="J23" s="13" t="s">
        <v>63</v>
      </c>
      <c r="K23" s="18" t="s">
        <v>104</v>
      </c>
      <c r="L23" s="14" t="s">
        <v>105</v>
      </c>
    </row>
    <row r="24" spans="1:12" ht="22.05" customHeight="1" x14ac:dyDescent="0.3">
      <c r="A24" s="13">
        <v>20</v>
      </c>
      <c r="B24" s="14" t="s">
        <v>6</v>
      </c>
      <c r="C24" s="14" t="s">
        <v>102</v>
      </c>
      <c r="D24" s="15" t="s">
        <v>27</v>
      </c>
      <c r="E24" s="13" t="s">
        <v>66</v>
      </c>
      <c r="F24" s="13" t="s">
        <v>106</v>
      </c>
      <c r="G24" s="13"/>
      <c r="H24" s="13"/>
      <c r="I24" s="13"/>
      <c r="J24" s="13" t="s">
        <v>63</v>
      </c>
      <c r="K24" s="18" t="s">
        <v>104</v>
      </c>
      <c r="L24" s="14" t="s">
        <v>107</v>
      </c>
    </row>
    <row r="25" spans="1:12" ht="22.05" customHeight="1" x14ac:dyDescent="0.3">
      <c r="A25" s="13">
        <v>21</v>
      </c>
      <c r="B25" s="14" t="s">
        <v>7</v>
      </c>
      <c r="C25" s="14" t="s">
        <v>108</v>
      </c>
      <c r="D25" s="15" t="s">
        <v>21</v>
      </c>
      <c r="E25" s="13" t="s">
        <v>66</v>
      </c>
      <c r="F25" s="13" t="s">
        <v>109</v>
      </c>
      <c r="G25" s="13"/>
      <c r="H25" s="13"/>
      <c r="I25" s="13"/>
      <c r="J25" s="13" t="s">
        <v>63</v>
      </c>
      <c r="K25" s="18" t="s">
        <v>104</v>
      </c>
      <c r="L25" s="14" t="s">
        <v>110</v>
      </c>
    </row>
    <row r="26" spans="1:12" ht="22.05" customHeight="1" x14ac:dyDescent="0.3">
      <c r="A26" s="13">
        <v>22</v>
      </c>
      <c r="B26" s="14" t="s">
        <v>7</v>
      </c>
      <c r="C26" s="14" t="s">
        <v>111</v>
      </c>
      <c r="D26" s="15" t="s">
        <v>28</v>
      </c>
      <c r="E26" s="13" t="s">
        <v>66</v>
      </c>
      <c r="F26" s="13" t="s">
        <v>109</v>
      </c>
      <c r="G26" s="13"/>
      <c r="H26" s="13"/>
      <c r="I26" s="13"/>
      <c r="J26" s="13" t="s">
        <v>63</v>
      </c>
      <c r="K26" s="18" t="s">
        <v>104</v>
      </c>
      <c r="L26" s="14" t="s">
        <v>112</v>
      </c>
    </row>
    <row r="27" spans="1:12" ht="22.05" customHeight="1" x14ac:dyDescent="0.3">
      <c r="A27" s="13">
        <v>23</v>
      </c>
      <c r="B27" s="14" t="s">
        <v>8</v>
      </c>
      <c r="C27" s="14" t="s">
        <v>113</v>
      </c>
      <c r="D27" s="15" t="s">
        <v>22</v>
      </c>
      <c r="E27" s="13" t="s">
        <v>114</v>
      </c>
      <c r="F27" s="13" t="s">
        <v>115</v>
      </c>
      <c r="G27" s="13" t="s">
        <v>63</v>
      </c>
      <c r="H27" s="13" t="s">
        <v>63</v>
      </c>
      <c r="I27" s="13" t="s">
        <v>63</v>
      </c>
      <c r="J27" s="13" t="s">
        <v>63</v>
      </c>
      <c r="K27" s="18" t="s">
        <v>104</v>
      </c>
      <c r="L27" s="14" t="s">
        <v>116</v>
      </c>
    </row>
    <row r="28" spans="1:12" ht="22.05" customHeight="1" x14ac:dyDescent="0.3">
      <c r="A28" s="13">
        <v>24</v>
      </c>
      <c r="B28" s="14" t="s">
        <v>8</v>
      </c>
      <c r="C28" s="14" t="s">
        <v>113</v>
      </c>
      <c r="D28" s="15" t="s">
        <v>29</v>
      </c>
      <c r="E28" s="13" t="s">
        <v>66</v>
      </c>
      <c r="F28" s="13" t="s">
        <v>115</v>
      </c>
      <c r="G28" s="13"/>
      <c r="H28" s="13"/>
      <c r="I28" s="13"/>
      <c r="J28" s="13" t="s">
        <v>63</v>
      </c>
      <c r="K28" s="18" t="s">
        <v>104</v>
      </c>
      <c r="L28" s="14" t="s">
        <v>117</v>
      </c>
    </row>
    <row r="30" spans="1:12" x14ac:dyDescent="0.3">
      <c r="D30" s="9" t="s">
        <v>118</v>
      </c>
    </row>
    <row r="31" spans="1:12" x14ac:dyDescent="0.3">
      <c r="D31" s="19" t="s">
        <v>119</v>
      </c>
      <c r="E31" s="20">
        <f>COUNTA(D5:D28)</f>
        <v>24</v>
      </c>
    </row>
    <row r="32" spans="1:12" x14ac:dyDescent="0.3">
      <c r="D32" s="21" t="s">
        <v>120</v>
      </c>
      <c r="E32" s="13">
        <f>COUNTIF(K5:K28,"Hậu")</f>
        <v>9</v>
      </c>
    </row>
    <row r="33" spans="4:5" x14ac:dyDescent="0.3">
      <c r="D33" s="21" t="s">
        <v>121</v>
      </c>
      <c r="E33" s="13">
        <f>COUNTIF(K5:K28,"Trường")</f>
        <v>9</v>
      </c>
    </row>
    <row r="34" spans="4:5" x14ac:dyDescent="0.3">
      <c r="D34" s="21" t="s">
        <v>122</v>
      </c>
      <c r="E34" s="13">
        <f>COUNTIF(K5:K28,"Tâm")</f>
        <v>6</v>
      </c>
    </row>
    <row r="35" spans="4:5" x14ac:dyDescent="0.3">
      <c r="D35" s="21" t="s">
        <v>123</v>
      </c>
      <c r="E35" s="13" t="str">
        <f>IF(E32+E33+E34=E31,"Khớp","Lệch")</f>
        <v>Khớp</v>
      </c>
    </row>
    <row r="36" spans="4:5" x14ac:dyDescent="0.3">
      <c r="D36" s="21" t="s">
        <v>124</v>
      </c>
      <c r="E36" s="13">
        <f>COUNTIF(E5:E28,"Lưu trữ")</f>
        <v>14</v>
      </c>
    </row>
    <row r="37" spans="4:5" x14ac:dyDescent="0.3">
      <c r="D37" s="21" t="s">
        <v>125</v>
      </c>
      <c r="E37" s="13">
        <f>COUNTIF(E5:E28,"Tra cứu")</f>
        <v>7</v>
      </c>
    </row>
    <row r="38" spans="4:5" x14ac:dyDescent="0.3">
      <c r="D38" s="21" t="s">
        <v>126</v>
      </c>
      <c r="E38" s="13">
        <f>COUNTIF(E5:E28,"Tính toán")</f>
        <v>1</v>
      </c>
    </row>
    <row r="39" spans="4:5" x14ac:dyDescent="0.3">
      <c r="D39" s="21" t="s">
        <v>127</v>
      </c>
      <c r="E39" s="13">
        <f>COUNTIF(E5:E28,"Kết xuất")</f>
        <v>1</v>
      </c>
    </row>
    <row r="40" spans="4:5" x14ac:dyDescent="0.3">
      <c r="D40" s="21" t="s">
        <v>128</v>
      </c>
      <c r="E40" s="13">
        <f>COUNTIF(E5:E28,"Khác")</f>
        <v>1</v>
      </c>
    </row>
    <row r="41" spans="4:5" x14ac:dyDescent="0.3">
      <c r="D41" s="21" t="s">
        <v>129</v>
      </c>
      <c r="E41" s="13">
        <f>COUNTIF(G5:G28,"✓")</f>
        <v>11</v>
      </c>
    </row>
    <row r="42" spans="4:5" x14ac:dyDescent="0.3">
      <c r="D42" s="21" t="s">
        <v>130</v>
      </c>
      <c r="E42" s="13">
        <f>COUNTIF(H5:H28,"✓")</f>
        <v>5</v>
      </c>
    </row>
    <row r="43" spans="4:5" x14ac:dyDescent="0.3">
      <c r="D43" s="21" t="s">
        <v>131</v>
      </c>
      <c r="E43" s="13">
        <f>COUNTIF(I5:I28,"✓")</f>
        <v>11</v>
      </c>
    </row>
    <row r="44" spans="4:5" x14ac:dyDescent="0.3">
      <c r="D44" s="21" t="s">
        <v>132</v>
      </c>
      <c r="E44" s="13">
        <f>COUNTIF(J5:J28,"✓")</f>
        <v>6</v>
      </c>
    </row>
  </sheetData>
  <autoFilter ref="A4:L28" xr:uid="{00000000-0009-0000-0000-000001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hướng đối tượng</vt:lpstr>
      <vt:lpstr>Chi tiết chức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Chí Hậu</cp:lastModifiedBy>
  <dcterms:created xsi:type="dcterms:W3CDTF">2026-10-06T05:27:40Z</dcterms:created>
  <dcterms:modified xsi:type="dcterms:W3CDTF">2026-10-06T05:31:03Z</dcterms:modified>
</cp:coreProperties>
</file>